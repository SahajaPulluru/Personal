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ask Tracker" sheetId="2" state="visible" r:id="rId4"/>
    <sheet name="Shared Work" sheetId="3" state="visible" r:id="rId5"/>
    <sheet name="AC Traceability" sheetId="4" state="visible" r:id="rId6"/>
    <sheet name="FAQ11 Checklist" sheetId="5" state="visible" r:id="rId7"/>
    <sheet name="Gates &amp; Cut Order" sheetId="6" state="visible" r:id="rId8"/>
    <sheet name="Contracts" sheetId="7" state="visible" r:id="rId9"/>
    <sheet name="Timeline" sheetId="8" state="visible" r:id="rId10"/>
  </sheets>
  <definedNames>
    <definedName function="false" hidden="true" localSheetId="1" name="_xlnm._FilterDatabase" vbProcedure="false">'Task Tracker'!$A$1:$O$61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<sst xmlns="http://schemas.openxmlformats.org/spreadsheetml/2006/main" count="852" uniqueCount="485">
  <si>
    <t xml:space="preserve">ACH DB Next Day Validation (C-247489): Team Tracker Summary</t>
  </si>
  <si>
    <t xml:space="preserve">All figures calculate from the Task Tracker and Shared Work sheets.</t>
  </si>
  <si>
    <t xml:space="preserve">Person</t>
  </si>
  <si>
    <t xml:space="preserve">Role</t>
  </si>
  <si>
    <t xml:space="preserve">Ownership</t>
  </si>
  <si>
    <t xml:space="preserve">Task Hours</t>
  </si>
  <si>
    <t xml:space="preserve">Shared Hours</t>
  </si>
  <si>
    <t xml:space="preserve">Total Hours</t>
  </si>
  <si>
    <t xml:space="preserve">Active Hours (excl. Cut)</t>
  </si>
  <si>
    <t xml:space="preserve">Hours Done</t>
  </si>
  <si>
    <t xml:space="preserve">% Done</t>
  </si>
  <si>
    <t xml:space="preserve"># Tasks</t>
  </si>
  <si>
    <t xml:space="preserve"># Done</t>
  </si>
  <si>
    <t xml:space="preserve"># In Progress</t>
  </si>
  <si>
    <t xml:space="preserve"># Blocked</t>
  </si>
  <si>
    <t xml:space="preserve"># Must Open</t>
  </si>
  <si>
    <t xml:space="preserve">P1</t>
  </si>
  <si>
    <t xml:space="preserve">Engine Lead</t>
  </si>
  <si>
    <t xml:space="preserve">Comparison engine, check types, findings, 5 Core Validations</t>
  </si>
  <si>
    <t xml:space="preserve">P2</t>
  </si>
  <si>
    <t xml:space="preserve">Config &amp; Governance Lead</t>
  </si>
  <si>
    <t xml:space="preserve">Rules file, schema, hot reload, hash/diff, what-if, config editor</t>
  </si>
  <si>
    <t xml:space="preserve">P3</t>
  </si>
  <si>
    <t xml:space="preserve">Backend, Decision &amp; Audit Lead</t>
  </si>
  <si>
    <t xml:space="preserve">API, run store, approve/investigate, SoD, audit chain, export, revalidate</t>
  </si>
  <si>
    <t xml:space="preserve">P4</t>
  </si>
  <si>
    <t xml:space="preserve">Frontend / UX Lead</t>
  </si>
  <si>
    <t xml:space="preserve">Reviewer workbench UI and all non-config screens</t>
  </si>
  <si>
    <t xml:space="preserve">P5</t>
  </si>
  <si>
    <t xml:space="preserve">Data, QA &amp; Pitch Lead</t>
  </si>
  <si>
    <t xml:space="preserve">Synthetic data, tests, docs, deck, demo script, submission</t>
  </si>
  <si>
    <t xml:space="preserve">TEAM</t>
  </si>
  <si>
    <t xml:space="preserve">Workload balance</t>
  </si>
  <si>
    <t xml:space="preserve">Average total hours per person</t>
  </si>
  <si>
    <t xml:space="preserve">Max minus min total hours (gap)</t>
  </si>
  <si>
    <t xml:space="preserve">Balance status</t>
  </si>
  <si>
    <t xml:space="preserve">Tasks by tag</t>
  </si>
  <si>
    <t xml:space="preserve">Tag</t>
  </si>
  <si>
    <t xml:space="preserve">Meaning</t>
  </si>
  <si>
    <t xml:space="preserve">Hours</t>
  </si>
  <si>
    <t xml:space="preserve">M</t>
  </si>
  <si>
    <t xml:space="preserve">Must have (acceptance criteria / FAQ)</t>
  </si>
  <si>
    <t xml:space="preserve">N</t>
  </si>
  <si>
    <t xml:space="preserve">Nice to have</t>
  </si>
  <si>
    <t xml:space="preserve">S</t>
  </si>
  <si>
    <t xml:space="preserve">Stretch</t>
  </si>
  <si>
    <t xml:space="preserve">Assumptions</t>
  </si>
  <si>
    <t xml:space="preserve">Plan assumes ~24 hours with feature freeze at hour 19; hours are planning estimates, not measured.</t>
  </si>
  <si>
    <t xml:space="preserve">Shared Hours (5.0) apply equally to each person. Person totals differ slightly because P5 is at 19.5 task hours; C12 (NL drafting) is an unbudgeted floater.</t>
  </si>
  <si>
    <t xml:space="preserve">Hard gates: Hr 8 = 5/5 seeded scenarios pass in pytest; Hr 14 = live config change works end to end; Hr 19 = freeze.</t>
  </si>
  <si>
    <t xml:space="preserve">ID</t>
  </si>
  <si>
    <t xml:space="preserve">Owner</t>
  </si>
  <si>
    <t xml:space="preserve">Owner Role</t>
  </si>
  <si>
    <t xml:space="preserve">Task</t>
  </si>
  <si>
    <t xml:space="preserve">Detail</t>
  </si>
  <si>
    <t xml:space="preserve">Maps To</t>
  </si>
  <si>
    <t xml:space="preserve">Est. Hours</t>
  </si>
  <si>
    <t xml:space="preserve">Planned Window</t>
  </si>
  <si>
    <t xml:space="preserve">Depends On</t>
  </si>
  <si>
    <t xml:space="preserve">Status</t>
  </si>
  <si>
    <t xml:space="preserve">% Complete</t>
  </si>
  <si>
    <t xml:space="preserve">Hours Left</t>
  </si>
  <si>
    <t xml:space="preserve">Notes / Blockers</t>
  </si>
  <si>
    <t xml:space="preserve">E1</t>
  </si>
  <si>
    <t xml:space="preserve">Data model</t>
  </si>
  <si>
    <t xml:space="preserve">Typed classes: Request, ChangeRecord (TNAL), GPSRecord, EvidenceIndicator, Finding, Result, CoreValidation. Agree with P2/P3/P5.</t>
  </si>
  <si>
    <t xml:space="preserve">FAQ 8</t>
  </si>
  <si>
    <t xml:space="preserve">Hr 2-4</t>
  </si>
  <si>
    <t xml:space="preserve">Contracts</t>
  </si>
  <si>
    <t xml:space="preserve">Not Started</t>
  </si>
  <si>
    <t xml:space="preserve">E2</t>
  </si>
  <si>
    <t xml:space="preserve">Engine entry point</t>
  </si>
  <si>
    <t xml:space="preserve">run(request, tnal, gps, evidence, config) -&gt; Result. No file, DB or network access.</t>
  </si>
  <si>
    <t xml:space="preserve">AC1, FAQ 8</t>
  </si>
  <si>
    <t xml:space="preserve">Hr 3-4</t>
  </si>
  <si>
    <t xml:space="preserve">E3</t>
  </si>
  <si>
    <t xml:space="preserve">Check types (6)</t>
  </si>
  <si>
    <t xml:space="preserve">exact_match, allowed_values, required_present, numeric_tolerance, no_unrequested_change, evidence_required. Structured findings.</t>
  </si>
  <si>
    <t xml:space="preserve">AC2, AC3</t>
  </si>
  <si>
    <t xml:space="preserve">Hr 3-6</t>
  </si>
  <si>
    <t xml:space="preserve">E4</t>
  </si>
  <si>
    <t xml:space="preserve">Normalizers</t>
  </si>
  <si>
    <t xml:space="preserve">trim, casefold, collapse_whitespace, date_iso, numeric; applied per field from config.</t>
  </si>
  <si>
    <t xml:space="preserve">AC2</t>
  </si>
  <si>
    <t xml:space="preserve">Hr 8-10</t>
  </si>
  <si>
    <t xml:space="preserve">E5</t>
  </si>
  <si>
    <t xml:space="preserve">Categorization and reasons</t>
  </si>
  <si>
    <t xml:space="preserve">Map failures to MISMATCH/MISSING/UNAUTHORIZED/EVIDENCE; plain-language reason templates.</t>
  </si>
  <si>
    <t xml:space="preserve">AC3, FAQ 6</t>
  </si>
  <si>
    <t xml:space="preserve">Hr 6-7</t>
  </si>
  <si>
    <t xml:space="preserve">E6</t>
  </si>
  <si>
    <t xml:space="preserve">Overall aggregation</t>
  </si>
  <si>
    <t xml:space="preserve">Any BLOCKING exception = EXCEPTION else PASS. Enum must not contain APPROVED.</t>
  </si>
  <si>
    <t xml:space="preserve">AC1, AC5</t>
  </si>
  <si>
    <t xml:space="preserve">E7</t>
  </si>
  <si>
    <t xml:space="preserve">Five Core Validations</t>
  </si>
  <si>
    <t xml:space="preserve">Map findings to the 5 control validations; status per validation.</t>
  </si>
  <si>
    <t xml:space="preserve">Process flow Step 6</t>
  </si>
  <si>
    <t xml:space="preserve">Hr 8-11</t>
  </si>
  <si>
    <t xml:space="preserve">E8</t>
  </si>
  <si>
    <t xml:space="preserve">GPS vs TNAL cross-check + request-approved check</t>
  </si>
  <si>
    <t xml:space="preserve">Validation 5 (GPS matches ACH) and Validation 1 (request exists and approved).</t>
  </si>
  <si>
    <t xml:space="preserve">Process flow</t>
  </si>
  <si>
    <t xml:space="preserve">Hr 10-12</t>
  </si>
  <si>
    <t xml:space="preserve">E9</t>
  </si>
  <si>
    <t xml:space="preserve">Severity levels</t>
  </si>
  <si>
    <t xml:space="preserve">BLOCKING vs WARNING per rule; warnings shown but do not force EXCEPTION.</t>
  </si>
  <si>
    <t xml:space="preserve">Hr 14-16</t>
  </si>
  <si>
    <t xml:space="preserve">E10</t>
  </si>
  <si>
    <t xml:space="preserve">Engine unit tests</t>
  </si>
  <si>
    <t xml:space="preserve">One test per check type, normalization edges, blank vs missing, determinism, no-I/O-imports test.</t>
  </si>
  <si>
    <t xml:space="preserve">AC2, FAQ 10</t>
  </si>
  <si>
    <t xml:space="preserve">Hr 6-8</t>
  </si>
  <si>
    <t xml:space="preserve">E11</t>
  </si>
  <si>
    <t xml:space="preserve">Diff spans</t>
  </si>
  <si>
    <t xml:space="preserve">Character-level diff spans for MISMATCH so UI can highlight.</t>
  </si>
  <si>
    <t xml:space="preserve">UX wow</t>
  </si>
  <si>
    <t xml:space="preserve">Hr 12-14</t>
  </si>
  <si>
    <t xml:space="preserve">E12</t>
  </si>
  <si>
    <t xml:space="preserve">Engine docs</t>
  </si>
  <si>
    <t xml:space="preserve">Docstrings + one page on adding a check type via config only.</t>
  </si>
  <si>
    <t xml:space="preserve">Deliverable</t>
  </si>
  <si>
    <t xml:space="preserve">Hr 16-17</t>
  </si>
  <si>
    <t xml:space="preserve">C1</t>
  </si>
  <si>
    <t xml:space="preserve">rules.yaml v1</t>
  </si>
  <si>
    <t xml:space="preserve">Rules for all seeded fields, mandatory fields, evidence reqs, unrequested_changes policy, version_label, templates.</t>
  </si>
  <si>
    <t xml:space="preserve">AC4, FAQ 4</t>
  </si>
  <si>
    <t xml:space="preserve">C2</t>
  </si>
  <si>
    <t xml:space="preserve">Schema validation</t>
  </si>
  <si>
    <t xml:space="preserve">Pydantic config models; reject unknown checks/missing fields/bad tolerances with friendly messages.</t>
  </si>
  <si>
    <t xml:space="preserve">Demo safety</t>
  </si>
  <si>
    <t xml:space="preserve">Hr 4-6</t>
  </si>
  <si>
    <t xml:space="preserve">C3</t>
  </si>
  <si>
    <t xml:space="preserve">Loader, re-read per run</t>
  </si>
  <si>
    <t xml:space="preserve">No module-level cache; re-read on every /validate; keep last-good config if new one invalid.</t>
  </si>
  <si>
    <t xml:space="preserve">AC4, FAQ 4/10</t>
  </si>
  <si>
    <t xml:space="preserve">C4</t>
  </si>
  <si>
    <t xml:space="preserve">Config version + hash</t>
  </si>
  <si>
    <t xml:space="preserve">version_label + SHA-256 (first 8 shown); stored in every run.</t>
  </si>
  <si>
    <t xml:space="preserve">FAQ 7</t>
  </si>
  <si>
    <t xml:space="preserve">C5</t>
  </si>
  <si>
    <t xml:space="preserve">Config diff</t>
  </si>
  <si>
    <t xml:space="preserve">Structured diff active vs draft (added/removed/changed rules).</t>
  </si>
  <si>
    <t xml:space="preserve">Governance</t>
  </si>
  <si>
    <t xml:space="preserve">C6</t>
  </si>
  <si>
    <t xml:space="preserve">Config endpoints</t>
  </si>
  <si>
    <t xml:space="preserve">GET/PUT /config, POST /config/validate, POST /reset. Coordinate with P3.</t>
  </si>
  <si>
    <t xml:space="preserve">AC4</t>
  </si>
  <si>
    <t xml:space="preserve">C3, B1</t>
  </si>
  <si>
    <t xml:space="preserve">C7</t>
  </si>
  <si>
    <t xml:space="preserve">Config editor UI</t>
  </si>
  <si>
    <t xml:space="preserve">YAML editor, inline errors, Save, Reset, one-click demo presets, version/hash badge.</t>
  </si>
  <si>
    <t xml:space="preserve">AC4 live</t>
  </si>
  <si>
    <t xml:space="preserve">Hr 10-14</t>
  </si>
  <si>
    <t xml:space="preserve">C8</t>
  </si>
  <si>
    <t xml:space="preserve">What-if engine</t>
  </si>
  <si>
    <t xml:space="preserve">POST /whatif: run all 5 scenarios on active vs draft; before/after matrix with flips.</t>
  </si>
  <si>
    <t xml:space="preserve">Dark horse</t>
  </si>
  <si>
    <t xml:space="preserve">C3, E2</t>
  </si>
  <si>
    <t xml:space="preserve">C9</t>
  </si>
  <si>
    <t xml:space="preserve">What-if matrix UI</t>
  </si>
  <si>
    <t xml:space="preserve">Scenarios x (current, draft); red flip warnings; shown before Save.</t>
  </si>
  <si>
    <t xml:space="preserve">C10</t>
  </si>
  <si>
    <t xml:space="preserve">Config change log</t>
  </si>
  <si>
    <t xml:space="preserve">Append-only: timestamp, actor, old-&gt;new hash, required reason, diff. Goes into audit pack.</t>
  </si>
  <si>
    <t xml:space="preserve">Hr 16-18</t>
  </si>
  <si>
    <t xml:space="preserve">C11</t>
  </si>
  <si>
    <t xml:space="preserve">Config tests</t>
  </si>
  <si>
    <t xml:space="preserve">Live reload, invalid YAML rejected, hash changes, what-if correct, stale config never used.</t>
  </si>
  <si>
    <t xml:space="preserve">Hr 16-19</t>
  </si>
  <si>
    <t xml:space="preserve">C12</t>
  </si>
  <si>
    <t xml:space="preserve">NL rule drafting (optional floater)</t>
  </si>
  <si>
    <t xml:space="preserve">LLM proposes YAML diff; human must confirm; never auto-applies; labeled advisory. Only if everything else is green. Not in hour totals.</t>
  </si>
  <si>
    <t xml:space="preserve">Floater</t>
  </si>
  <si>
    <t xml:space="preserve">All frozen</t>
  </si>
  <si>
    <t xml:space="preserve">B1</t>
  </si>
  <si>
    <t xml:space="preserve">Scaffolding</t>
  </si>
  <si>
    <t xml:space="preserve">Repo layout, FastAPI app, Makefile (setup/test/run), CORS.</t>
  </si>
  <si>
    <t xml:space="preserve">Submission</t>
  </si>
  <si>
    <t xml:space="preserve">B2</t>
  </si>
  <si>
    <t xml:space="preserve">Simulated source loaders</t>
  </si>
  <si>
    <t xml:space="preserve">Loaders for ServiceNow/DMS, TNAL, GPS, evidence; every response has source=SIMULATED.</t>
  </si>
  <si>
    <t xml:space="preserve">AC6</t>
  </si>
  <si>
    <t xml:space="preserve">Hr 3-5</t>
  </si>
  <si>
    <t xml:space="preserve">B1, D2</t>
  </si>
  <si>
    <t xml:space="preserve">B3</t>
  </si>
  <si>
    <t xml:space="preserve">Scenario and validate endpoints</t>
  </si>
  <si>
    <t xml:space="preserve">GET /scenarios (with expected outcome), POST /validate (fresh config, engine, create run).</t>
  </si>
  <si>
    <t xml:space="preserve">AC1</t>
  </si>
  <si>
    <t xml:space="preserve">Hr 5-6</t>
  </si>
  <si>
    <t xml:space="preserve">B2, E2</t>
  </si>
  <si>
    <t xml:space="preserve">B4</t>
  </si>
  <si>
    <t xml:space="preserve">Run store</t>
  </si>
  <si>
    <t xml:space="preserve">SQLite/JSONL; run IDs (RUN-YYYYMMDD-NNNN); all FAQ 7 fields.</t>
  </si>
  <si>
    <t xml:space="preserve">B5</t>
  </si>
  <si>
    <t xml:space="preserve">Decision endpoint</t>
  </si>
  <si>
    <t xml:space="preserve">Approve/Investigate + notes; state machine VALIDATED -&gt; APPROVED/INVESTIGATE; no auto-decision path.</t>
  </si>
  <si>
    <t xml:space="preserve">AC5</t>
  </si>
  <si>
    <t xml:space="preserve">B6</t>
  </si>
  <si>
    <t xml:space="preserve">SoD enforcement</t>
  </si>
  <si>
    <t xml:space="preserve">Maker from TNAL record; reject if checker_id == maker_id; log violation attempt; persona directory.</t>
  </si>
  <si>
    <t xml:space="preserve">AC6, FAQ 3</t>
  </si>
  <si>
    <t xml:space="preserve">B7</t>
  </si>
  <si>
    <t xml:space="preserve">Run history API</t>
  </si>
  <si>
    <t xml:space="preserve">GET /runs, filters, PASS/EXCEPTION counts, counts by rule.</t>
  </si>
  <si>
    <t xml:space="preserve">Business story</t>
  </si>
  <si>
    <t xml:space="preserve">Hr 12-13</t>
  </si>
  <si>
    <t xml:space="preserve">B8</t>
  </si>
  <si>
    <t xml:space="preserve">Hash-chained audit log</t>
  </si>
  <si>
    <t xml:space="preserve">prev_hash/record_hash on run, decision, config-change, SoD events; GET /audit/verify finds first broken link.</t>
  </si>
  <si>
    <t xml:space="preserve">Audit-ready</t>
  </si>
  <si>
    <t xml:space="preserve">B9</t>
  </si>
  <si>
    <t xml:space="preserve">Audit pack export</t>
  </si>
  <si>
    <t xml:space="preserve">Per-run JSON + printable HTML/PDF: header, config hash, findings, decision, notes, chain proof; SIMULATED label.</t>
  </si>
  <si>
    <t xml:space="preserve">FAQ 10</t>
  </si>
  <si>
    <t xml:space="preserve">Hr 17-19</t>
  </si>
  <si>
    <t xml:space="preserve">B10</t>
  </si>
  <si>
    <t xml:space="preserve">Revalidate loop</t>
  </si>
  <si>
    <t xml:space="preserve">After Investigate, load corrected TNAL and rerun; link via parent_run_id.</t>
  </si>
  <si>
    <t xml:space="preserve">Hr 19-21</t>
  </si>
  <si>
    <t xml:space="preserve">B11</t>
  </si>
  <si>
    <t xml:space="preserve">API tests</t>
  </si>
  <si>
    <t xml:space="preserve">No-auto-approve, SoD block, decision-before-validate rejected, metadata completeness, chain tamper, revalidate link.</t>
  </si>
  <si>
    <t xml:space="preserve">AC5, AC6</t>
  </si>
  <si>
    <t xml:space="preserve">Hr 13-16</t>
  </si>
  <si>
    <t xml:space="preserve">B12</t>
  </si>
  <si>
    <t xml:space="preserve">API docs</t>
  </si>
  <si>
    <t xml:space="preserve">API reference + README run section.</t>
  </si>
  <si>
    <t xml:space="preserve">Hr 19-20</t>
  </si>
  <si>
    <t xml:space="preserve">U1</t>
  </si>
  <si>
    <t xml:space="preserve">Layout and design system</t>
  </si>
  <si>
    <t xml:space="preserve">App shell, tokens, projector-sized type, persistent SIMULATED banner, persona switcher.</t>
  </si>
  <si>
    <t xml:space="preserve">U2</t>
  </si>
  <si>
    <t xml:space="preserve">Scenario picker</t>
  </si>
  <si>
    <t xml:space="preserve">5 scenarios with title, category, expected badge, matches-expected indicator.</t>
  </si>
  <si>
    <t xml:space="preserve">U3</t>
  </si>
  <si>
    <t xml:space="preserve">Run metadata header</t>
  </si>
  <si>
    <t xml:space="preserve">Run ID, request ID, TNAL/GPS IDs, config version+hash, timestamp, maker, checker.</t>
  </si>
  <si>
    <t xml:space="preserve">U4</t>
  </si>
  <si>
    <t xml:space="preserve">Result banner and exception cards</t>
  </si>
  <si>
    <t xml:space="preserve">PASS/EXCEPTION banner; card per finding with six FAQ-6 fields; color by category.</t>
  </si>
  <si>
    <t xml:space="preserve">AC1, AC3</t>
  </si>
  <si>
    <t xml:space="preserve">U2, B3</t>
  </si>
  <si>
    <t xml:space="preserve">U5</t>
  </si>
  <si>
    <t xml:space="preserve">Expected vs Actual view</t>
  </si>
  <si>
    <t xml:space="preserve">Side-by-side with character highlights; (blank) and 'not requested' states.</t>
  </si>
  <si>
    <t xml:space="preserve">U4, E11</t>
  </si>
  <si>
    <t xml:space="preserve">U6</t>
  </si>
  <si>
    <t xml:space="preserve">Five Core Validations panel</t>
  </si>
  <si>
    <t xml:space="preserve">5 rows with pass/fail status, clickable to filter findings.</t>
  </si>
  <si>
    <t xml:space="preserve">U7</t>
  </si>
  <si>
    <t xml:space="preserve">Decision panel</t>
  </si>
  <si>
    <t xml:space="preserve">Approve/Investigate, notes, confirm step, SoD red block banner, decided lock, no-auto-approval microcopy.</t>
  </si>
  <si>
    <t xml:space="preserve">B5, B6</t>
  </si>
  <si>
    <t xml:space="preserve">U8</t>
  </si>
  <si>
    <t xml:space="preserve">Run history and analytics</t>
  </si>
  <si>
    <t xml:space="preserve">History table (run, scenario, result, config hash, decision) + small counts by rule.</t>
  </si>
  <si>
    <t xml:space="preserve">Hr 13-15</t>
  </si>
  <si>
    <t xml:space="preserve">U9</t>
  </si>
  <si>
    <t xml:space="preserve">Audit pack view</t>
  </si>
  <si>
    <t xml:space="preserve">Export button, printable view, Verify integrity button (chain OK/broken).</t>
  </si>
  <si>
    <t xml:space="preserve">B8, B9</t>
  </si>
  <si>
    <t xml:space="preserve">U10</t>
  </si>
  <si>
    <t xml:space="preserve">Revalidate UI</t>
  </si>
  <si>
    <t xml:space="preserve">Revalidate button after Investigate; parent/child run display.</t>
  </si>
  <si>
    <t xml:space="preserve">U11</t>
  </si>
  <si>
    <t xml:space="preserve">Demo-readiness features</t>
  </si>
  <si>
    <t xml:space="preserve">Reset button, loading/error states, keys 1-5 for scenarios, empty states, demo mode.</t>
  </si>
  <si>
    <t xml:space="preserve">Hr 15-17</t>
  </si>
  <si>
    <t xml:space="preserve">U12</t>
  </si>
  <si>
    <t xml:space="preserve">Final polish</t>
  </si>
  <si>
    <t xml:space="preserve">Spacing, contrast, projector resolution check, copy review.</t>
  </si>
  <si>
    <t xml:space="preserve">Presentation</t>
  </si>
  <si>
    <t xml:space="preserve">Hr 21-23</t>
  </si>
  <si>
    <t xml:space="preserve">Freeze</t>
  </si>
  <si>
    <t xml:space="preserve">D1</t>
  </si>
  <si>
    <t xml:space="preserve">Traceability matrix</t>
  </si>
  <si>
    <t xml:space="preserve">AC1-6, FAQ 1-12, 12-item checklist, 5 Core Validations mapped to file, test, demo moment. Maintained throughout.</t>
  </si>
  <si>
    <t xml:space="preserve">All</t>
  </si>
  <si>
    <t xml:space="preserve">Hr 2-24</t>
  </si>
  <si>
    <t xml:space="preserve">D2</t>
  </si>
  <si>
    <t xml:space="preserve">Seeded synthetic data</t>
  </si>
  <si>
    <t xml:space="preserve">5 requests, 5 TNAL, 5 GPS, evidence indicators, expected_outcomes.json, personas. Fake IDs only.</t>
  </si>
  <si>
    <t xml:space="preserve">AC2, AC6</t>
  </si>
  <si>
    <t xml:space="preserve">Hr 2-5</t>
  </si>
  <si>
    <t xml:space="preserve">D3</t>
  </si>
  <si>
    <t xml:space="preserve">Edge-case data</t>
  </si>
  <si>
    <t xml:space="preserve">Normalization case, GPS!=ACH, request-not-approved, multi-exception, severity warning. Separate from the 5.</t>
  </si>
  <si>
    <t xml:space="preserve">Robustness</t>
  </si>
  <si>
    <t xml:space="preserve">D4</t>
  </si>
  <si>
    <t xml:space="preserve">Demo edit presets</t>
  </si>
  <si>
    <t xml:space="preserve">Design live-edit story (e.g. make authorization form optional so Scenario 5 flips); hand presets to P2, click path to P4.</t>
  </si>
  <si>
    <t xml:space="preserve">D5</t>
  </si>
  <si>
    <t xml:space="preserve">Seeded scenario test suite</t>
  </si>
  <si>
    <t xml:space="preserve">Parametrized pytest on expected_outcomes.json: 5 outcomes, six explainability fields, metadata completeness.</t>
  </si>
  <si>
    <t xml:space="preserve">E2, D2</t>
  </si>
  <si>
    <t xml:space="preserve">D6</t>
  </si>
  <si>
    <t xml:space="preserve">End-to-end smoke test</t>
  </si>
  <si>
    <t xml:space="preserve">Playwright script of full click path: scenarios, SoD block, config flip, decision. Run before each rehearsal.</t>
  </si>
  <si>
    <t xml:space="preserve">U7, C7</t>
  </si>
  <si>
    <t xml:space="preserve">D7</t>
  </si>
  <si>
    <t xml:space="preserve">Guardrail audit</t>
  </si>
  <si>
    <t xml:space="preserve">Script scanning data for PII/account numbers + checklist (SIMULATED labels, SoD, no auto-approval); AC6 evidence sheet.</t>
  </si>
  <si>
    <t xml:space="preserve">D8</t>
  </si>
  <si>
    <t xml:space="preserve">Architecture summary</t>
  </si>
  <si>
    <t xml:space="preserve">1-2 page doc: engine/config/UI split, data flow, SIMULATED sources, diagram, config-only extension, assumptions.</t>
  </si>
  <si>
    <t xml:space="preserve">Hr 8-17</t>
  </si>
  <si>
    <t xml:space="preserve">D9</t>
  </si>
  <si>
    <t xml:space="preserve">Decks (5/3/10 min)</t>
  </si>
  <si>
    <t xml:space="preserve">5-min primary + 3 and 10-min variants; AC1-AC6 proof slide, architecture slide, honest business-value slide.</t>
  </si>
  <si>
    <t xml:space="preserve">Hr 12-20</t>
  </si>
  <si>
    <t xml:space="preserve">D10</t>
  </si>
  <si>
    <t xml:space="preserve">Demo script and walkthrough</t>
  </si>
  <si>
    <t xml:space="preserve">Timed click-by-click per FAQ 9, recovery lines, written walkthrough doc.</t>
  </si>
  <si>
    <t xml:space="preserve">D11</t>
  </si>
  <si>
    <t xml:space="preserve">Rehearsal lead</t>
  </si>
  <si>
    <t xml:space="preserve">5 timed rehearsals, log timings, rehearse failure recovery.</t>
  </si>
  <si>
    <t xml:space="preserve">Demo</t>
  </si>
  <si>
    <t xml:space="preserve">Hr 19-23</t>
  </si>
  <si>
    <t xml:space="preserve">D12</t>
  </si>
  <si>
    <t xml:space="preserve">Submission package</t>
  </si>
  <si>
    <t xml:space="preserve">Backup video, README final pass, 12-item checklist with evidence links, repo cleanup, upload.</t>
  </si>
  <si>
    <t xml:space="preserve">Hr 21-24</t>
  </si>
  <si>
    <t xml:space="preserve">Legend</t>
  </si>
  <si>
    <t xml:space="preserve">Tag: M = Must (AC/FAQ), N = Nice-to-have, S = Stretch. Blue text = cells to edit (Status, % Complete, Notes, Hours).</t>
  </si>
  <si>
    <t xml:space="preserve">Hours Done = Est. Hours x % Complete. Set Status to 'Cut' for dropped tasks; they are excluded from the Summary 'Active Hours'.</t>
  </si>
  <si>
    <t xml:space="preserve">C12 is an unbudgeted floater (0 hours); put actual hours in H if you pick it up. Estimates are planning assumptions, not measured.</t>
  </si>
  <si>
    <t xml:space="preserve">Shared team activities (apply to all 5 people)</t>
  </si>
  <si>
    <t xml:space="preserve">Hours per person per activity. Counted once per person in the Summary.</t>
  </si>
  <si>
    <t xml:space="preserve">Activity</t>
  </si>
  <si>
    <t xml:space="preserve">When</t>
  </si>
  <si>
    <t xml:space="preserve">Hours / Person</t>
  </si>
  <si>
    <t xml:space="preserve">Notes</t>
  </si>
  <si>
    <t xml:space="preserve">S1</t>
  </si>
  <si>
    <t xml:space="preserve">Kickoff, contract lock, spec reread</t>
  </si>
  <si>
    <t xml:space="preserve">Hr 0-2</t>
  </si>
  <si>
    <t xml:space="preserve">S2</t>
  </si>
  <si>
    <t xml:space="preserve">Integration checkpoints (3 x 20 min: hr 8, 14, 18)</t>
  </si>
  <si>
    <t xml:space="preserve">Hr 8/14/18</t>
  </si>
  <si>
    <t xml:space="preserve">S3</t>
  </si>
  <si>
    <t xml:space="preserve">Feature freeze and regression pass</t>
  </si>
  <si>
    <t xml:space="preserve">S4</t>
  </si>
  <si>
    <t xml:space="preserve">Bug bash (try to break SoD, bad YAML, double-decision)</t>
  </si>
  <si>
    <t xml:space="preserve">Hr 21</t>
  </si>
  <si>
    <t xml:space="preserve">S5</t>
  </si>
  <si>
    <t xml:space="preserve">Rehearsals (5 x 12 min)</t>
  </si>
  <si>
    <t xml:space="preserve">TOTAL</t>
  </si>
  <si>
    <t xml:space="preserve">AC</t>
  </si>
  <si>
    <t xml:space="preserve">Requirement</t>
  </si>
  <si>
    <t xml:space="preserve">Proving Tasks</t>
  </si>
  <si>
    <t xml:space="preserve">Primary Owner</t>
  </si>
  <si>
    <t xml:space="preserve">Supporting</t>
  </si>
  <si>
    <t xml:space="preserve">Evidence / Demo Moment</t>
  </si>
  <si>
    <t xml:space="preserve">Verified? (Y/N)</t>
  </si>
  <si>
    <t xml:space="preserve">Evidence Link</t>
  </si>
  <si>
    <t xml:space="preserve">End-to-end PASS/EXCEPTION in checker summary</t>
  </si>
  <si>
    <t xml:space="preserve">E2, E6, B3, U4</t>
  </si>
  <si>
    <t xml:space="preserve">P3, P4</t>
  </si>
  <si>
    <t xml:space="preserve">Seeded suite + UI banner</t>
  </si>
  <si>
    <t xml:space="preserve">Five seeded scenarios hit expected outcomes</t>
  </si>
  <si>
    <t xml:space="preserve">D2, D5, E3</t>
  </si>
  <si>
    <t xml:space="preserve">pytest parametrized suite</t>
  </si>
  <si>
    <t xml:space="preserve">AC3</t>
  </si>
  <si>
    <t xml:space="preserve">Explainable exceptions (field, expected, actual, rule, reason)</t>
  </si>
  <si>
    <t xml:space="preserve">E5, U4, D5</t>
  </si>
  <si>
    <t xml:space="preserve">P4, P5</t>
  </si>
  <si>
    <t xml:space="preserve">Exception card + test of six fields</t>
  </si>
  <si>
    <t xml:space="preserve">Config-driven rule change, no code change</t>
  </si>
  <si>
    <t xml:space="preserve">C1-C4, C7, C11</t>
  </si>
  <si>
    <t xml:space="preserve">P5 (D4)</t>
  </si>
  <si>
    <t xml:space="preserve">Live flip + live-reload test</t>
  </si>
  <si>
    <t xml:space="preserve">Human approval; system never approves</t>
  </si>
  <si>
    <t xml:space="preserve">B5, U7, B11</t>
  </si>
  <si>
    <t xml:space="preserve">No-auto-approve test + decision panel</t>
  </si>
  <si>
    <t xml:space="preserve">Guardrails: synthetic data, SoD, SIMULATED labels</t>
  </si>
  <si>
    <t xml:space="preserve">B6, B2, U1, D7</t>
  </si>
  <si>
    <t xml:space="preserve">SoD block demo + guardrail audit sheet</t>
  </si>
  <si>
    <t xml:space="preserve">ACs verified</t>
  </si>
  <si>
    <t xml:space="preserve">#</t>
  </si>
  <si>
    <t xml:space="preserve">Checklist Item (FAQ 11)</t>
  </si>
  <si>
    <t xml:space="preserve">Done? (Y/N)</t>
  </si>
  <si>
    <t xml:space="preserve">Synthetic maintenance requests created</t>
  </si>
  <si>
    <t xml:space="preserve">Synthetic TNAL/GPS reports created</t>
  </si>
  <si>
    <t xml:space="preserve">External rules configuration defined</t>
  </si>
  <si>
    <t xml:space="preserve">Comparison engine implemented</t>
  </si>
  <si>
    <t xml:space="preserve">All 5 seeded scenarios functional</t>
  </si>
  <si>
    <t xml:space="preserve">P1 + P5</t>
  </si>
  <si>
    <t xml:space="preserve">Reviewer summary UI built</t>
  </si>
  <si>
    <t xml:space="preserve">Discrepancy details and plain-language reasons surfaced</t>
  </si>
  <si>
    <t xml:space="preserve">P1 + P4</t>
  </si>
  <si>
    <t xml:space="preserve">Live rule modification verified without restart</t>
  </si>
  <si>
    <t xml:space="preserve">Reviewer decision capture (Approve / Investigate)</t>
  </si>
  <si>
    <t xml:space="preserve">P3 + P4</t>
  </si>
  <si>
    <t xml:space="preserve">Run metadata header displayed</t>
  </si>
  <si>
    <t xml:space="preserve">Segregation of Duties enforced</t>
  </si>
  <si>
    <t xml:space="preserve">5-minute presentation rehearsed</t>
  </si>
  <si>
    <t xml:space="preserve">P5 (all)</t>
  </si>
  <si>
    <t xml:space="preserve">Items complete</t>
  </si>
  <si>
    <t xml:space="preserve">Hard gates</t>
  </si>
  <si>
    <t xml:space="preserve">Gate</t>
  </si>
  <si>
    <t xml:space="preserve">Hour</t>
  </si>
  <si>
    <t xml:space="preserve">Pass Condition</t>
  </si>
  <si>
    <t xml:space="preserve">Met? (Y/N)</t>
  </si>
  <si>
    <t xml:space="preserve">G1</t>
  </si>
  <si>
    <t xml:space="preserve">5/5 seeded scenarios pass in pytest. No UI polish before this.</t>
  </si>
  <si>
    <t xml:space="preserve">G2</t>
  </si>
  <si>
    <t xml:space="preserve">Live config change works end to end (edit, rerun, outcome flips, hash changes).</t>
  </si>
  <si>
    <t xml:space="preserve">G3</t>
  </si>
  <si>
    <t xml:space="preserve">FEATURE FREEZE. Anything unfinished is cut.</t>
  </si>
  <si>
    <t xml:space="preserve">Cut order if time runs short (cut top-down)</t>
  </si>
  <si>
    <t xml:space="preserve">Order</t>
  </si>
  <si>
    <t xml:space="preserve">Cut Item</t>
  </si>
  <si>
    <t xml:space="preserve">Task IDs</t>
  </si>
  <si>
    <t xml:space="preserve">C12 natural-language drafting</t>
  </si>
  <si>
    <t xml:space="preserve">Revalidate loop (backend + UI)</t>
  </si>
  <si>
    <t xml:space="preserve">B10, U10</t>
  </si>
  <si>
    <t xml:space="preserve">Audit export / UI (keep JSON dump)</t>
  </si>
  <si>
    <t xml:space="preserve">B9, U9</t>
  </si>
  <si>
    <t xml:space="preserve">Run analytics</t>
  </si>
  <si>
    <t xml:space="preserve">U8, B7</t>
  </si>
  <si>
    <t xml:space="preserve">Character-level diff (fall back to plain highlight)</t>
  </si>
  <si>
    <t xml:space="preserve">E11, U5</t>
  </si>
  <si>
    <t xml:space="preserve">Never cut: E1-E3, E5-E8, E10, C1-C4, C6, C7, C11, B1-B6, B11, U1-U4, U6, U7, U11, and all D tasks except D3.</t>
  </si>
  <si>
    <t xml:space="preserve">Shared contracts (lock at hours 0-2, all 5 together)</t>
  </si>
  <si>
    <t xml:space="preserve">Contract</t>
  </si>
  <si>
    <t xml:space="preserve">Definition</t>
  </si>
  <si>
    <t xml:space="preserve">Agreed by all? (Y/N)</t>
  </si>
  <si>
    <t xml:space="preserve">Finding object</t>
  </si>
  <si>
    <t xml:space="preserve">finding_id, field, category (MISMATCH|MISSING|UNAUTHORIZED|EVIDENCE), expected, actual, rule_id, rule_text, result (PASS|EXCEPTION), severity (BLOCKING|WARNING), reason, core_validation</t>
  </si>
  <si>
    <t xml:space="preserve">Run record</t>
  </si>
  <si>
    <t xml:space="preserve">run_id, request_id, tnal_report_id, gps_report_id, config_version_label, config_hash, timestamp, overall_result, findings[], core_validations[1..5], decision, decision_by, decision_notes, decision_timestamp, parent_run_id, prev_hash, record_hash</t>
  </si>
  <si>
    <t xml:space="preserve">Endpoints</t>
  </si>
  <si>
    <t xml:space="preserve">GET /scenarios, POST /validate, GET/PUT /config, POST /config/validate, POST /whatif, POST /decision, GET /runs, GET /runs/{id}, POST /runs/{id}/revalidate, GET /audit/verify, GET /export/{run_id}, POST /reset</t>
  </si>
  <si>
    <t xml:space="preserve">Personas (fictional)</t>
  </si>
  <si>
    <t xml:space="preserve">Maker: proc_jlee. Checkers: rev_mkhan, rev_apatel. Control owner: own_sbrown.</t>
  </si>
  <si>
    <t xml:space="preserve">Result enum rule</t>
  </si>
  <si>
    <t xml:space="preserve">Result states must never include APPROVED; only a human decision can approve.</t>
  </si>
  <si>
    <t xml:space="preserve">Data rule</t>
  </si>
  <si>
    <t xml:space="preserve">Synthetic only. Fake IDs (ACH-REQ-0001, ACME TEST CO). No account numbers. Label every integration SIMULATED.</t>
  </si>
  <si>
    <t xml:space="preserve">Timeline by person (planned task windows)</t>
  </si>
  <si>
    <t xml:space="preserve">P1 Engine</t>
  </si>
  <si>
    <t xml:space="preserve">P2 Config</t>
  </si>
  <si>
    <t xml:space="preserve">P3 Backend</t>
  </si>
  <si>
    <t xml:space="preserve">P4 Frontend</t>
  </si>
  <si>
    <t xml:space="preserve">P5 Data/QA/Pitch</t>
  </si>
  <si>
    <t xml:space="preserve">0-2</t>
  </si>
  <si>
    <t xml:space="preserve">Contracts (all)</t>
  </si>
  <si>
    <t xml:space="preserve">2-6</t>
  </si>
  <si>
    <t xml:space="preserve">E1-E3</t>
  </si>
  <si>
    <t xml:space="preserve">C1, C2</t>
  </si>
  <si>
    <t xml:space="preserve">B1-B3</t>
  </si>
  <si>
    <t xml:space="preserve">U1, U2</t>
  </si>
  <si>
    <t xml:space="preserve">D2, D1</t>
  </si>
  <si>
    <t xml:space="preserve">6-8</t>
  </si>
  <si>
    <t xml:space="preserve">E5, E6, E10</t>
  </si>
  <si>
    <t xml:space="preserve">C3, C4</t>
  </si>
  <si>
    <t xml:space="preserve">U3, U4</t>
  </si>
  <si>
    <t xml:space="preserve">D5 (5/5 green gate), D4</t>
  </si>
  <si>
    <t xml:space="preserve">8-12</t>
  </si>
  <si>
    <t xml:space="preserve">E7, E8, E4</t>
  </si>
  <si>
    <t xml:space="preserve">C6, C7</t>
  </si>
  <si>
    <t xml:space="preserve">U6, U7</t>
  </si>
  <si>
    <t xml:space="preserve">D7, D8 draft</t>
  </si>
  <si>
    <t xml:space="preserve">12-16</t>
  </si>
  <si>
    <t xml:space="preserve">E11, E9</t>
  </si>
  <si>
    <t xml:space="preserve">C5, C8, C9</t>
  </si>
  <si>
    <t xml:space="preserve">B7, B11</t>
  </si>
  <si>
    <t xml:space="preserve">U5, U8</t>
  </si>
  <si>
    <t xml:space="preserve">D3, D6, D9 skeleton</t>
  </si>
  <si>
    <t xml:space="preserve">16-19</t>
  </si>
  <si>
    <t xml:space="preserve">C10, C11</t>
  </si>
  <si>
    <t xml:space="preserve">U9, U11</t>
  </si>
  <si>
    <t xml:space="preserve">D10, D9 v2</t>
  </si>
  <si>
    <t xml:space="preserve">19</t>
  </si>
  <si>
    <t xml:space="preserve">FEATURE FREEZE</t>
  </si>
  <si>
    <t xml:space="preserve">19-21</t>
  </si>
  <si>
    <t xml:space="preserve">Bug fixes</t>
  </si>
  <si>
    <t xml:space="preserve">B10 (S)</t>
  </si>
  <si>
    <t xml:space="preserve">U10 (S), U12</t>
  </si>
  <si>
    <t xml:space="preserve">D11, rehearsals</t>
  </si>
  <si>
    <t xml:space="preserve">21-24</t>
  </si>
  <si>
    <t xml:space="preserve">Regression</t>
  </si>
  <si>
    <t xml:space="preserve">Polish</t>
  </si>
  <si>
    <t xml:space="preserve">D12, video, submit</t>
  </si>
  <si>
    <t xml:space="preserve">Note: P4 windows use mock data until P3 endpoints land (hr 5-6); P1 diff spans (E11) are needed by P4 U5.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</si>
</sst>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1F5"/>
        <bgColor rgb="FFDDEBF7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1F5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1F5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N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6" min="4" style="0" width="11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11" min="9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23.85" hidden="false" customHeight="false" outlineLevel="0" collapsed="false">
      <c r="A5" s="4" t="s">
        <v>16</v>
      </c>
      <c r="B5" s="5" t="s">
        <v>17</v>
      </c>
      <c r="C5" s="5" t="s">
        <v>18</v>
      </c>
      <c r="D5" s="6" t="n">
        <f aca="false">SUMIFS('Task Tracker'!$H$2:$H$61,'Task Tracker'!$B$2:$B$61,A5)</f>
        <v>20</v>
      </c>
      <c r="E5" s="6" t="n">
        <f aca="false">SUM('Shared Work'!$D$5:$D$9)</f>
        <v>5</v>
      </c>
      <c r="F5" s="6" t="n">
        <f aca="false">D5+E5</f>
        <v>25</v>
      </c>
      <c r="G5" s="6" t="n">
        <f aca="false">SUMIFS('Task Tracker'!$H$2:$H$61,'Task Tracker'!$B$2:$B$61,A5,'Task Tracker'!$K$2:$K$61,"&lt;&gt;Cut")</f>
        <v>20</v>
      </c>
      <c r="H5" s="6" t="n">
        <f aca="false">SUMIFS('Task Tracker'!$M$2:$M$61,'Task Tracker'!$B$2:$B$61,A5)</f>
        <v>0</v>
      </c>
      <c r="I5" s="7" t="n">
        <f aca="false">IF(G5=0,0,H5/G5)</f>
        <v>0</v>
      </c>
      <c r="J5" s="8" t="n">
        <f aca="false">COUNTIFS('Task Tracker'!$B$2:$B$61,A5)</f>
        <v>12</v>
      </c>
      <c r="K5" s="8" t="n">
        <f aca="false">COUNTIFS('Task Tracker'!$B$2:$B$61,A5,'Task Tracker'!$K$2:$K$61,"Done")</f>
        <v>0</v>
      </c>
      <c r="L5" s="8" t="n">
        <f aca="false">COUNTIFS('Task Tracker'!$B$2:$B$61,A5,'Task Tracker'!$K$2:$K$61,"In Progress")</f>
        <v>0</v>
      </c>
      <c r="M5" s="8" t="n">
        <f aca="false">COUNTIFS('Task Tracker'!$B$2:$B$61,A5,'Task Tracker'!$K$2:$K$61,"Blocked")</f>
        <v>0</v>
      </c>
      <c r="N5" s="8" t="n">
        <f aca="false">COUNTIFS('Task Tracker'!$B$2:$B$61,A5,'Task Tracker'!$G$2:$G$61,"M",'Task Tracker'!$K$2:$K$61,"&lt;&gt;Done",'Task Tracker'!$K$2:$K$61,"&lt;&gt;Cut")</f>
        <v>9</v>
      </c>
    </row>
    <row r="6" customFormat="false" ht="23.85" hidden="false" customHeight="false" outlineLevel="0" collapsed="false">
      <c r="A6" s="9" t="s">
        <v>19</v>
      </c>
      <c r="B6" s="5" t="s">
        <v>20</v>
      </c>
      <c r="C6" s="5" t="s">
        <v>21</v>
      </c>
      <c r="D6" s="6" t="n">
        <f aca="false">SUMIFS('Task Tracker'!$H$2:$H$61,'Task Tracker'!$B$2:$B$61,A6)</f>
        <v>20</v>
      </c>
      <c r="E6" s="6" t="n">
        <f aca="false">SUM('Shared Work'!$D$5:$D$9)</f>
        <v>5</v>
      </c>
      <c r="F6" s="6" t="n">
        <f aca="false">D6+E6</f>
        <v>25</v>
      </c>
      <c r="G6" s="6" t="n">
        <f aca="false">SUMIFS('Task Tracker'!$H$2:$H$61,'Task Tracker'!$B$2:$B$61,A6,'Task Tracker'!$K$2:$K$61,"&lt;&gt;Cut")</f>
        <v>20</v>
      </c>
      <c r="H6" s="6" t="n">
        <f aca="false">SUMIFS('Task Tracker'!$M$2:$M$61,'Task Tracker'!$B$2:$B$61,A6)</f>
        <v>0</v>
      </c>
      <c r="I6" s="7" t="n">
        <f aca="false">IF(G6=0,0,H6/G6)</f>
        <v>0</v>
      </c>
      <c r="J6" s="8" t="n">
        <f aca="false">COUNTIFS('Task Tracker'!$B$2:$B$61,A6)</f>
        <v>12</v>
      </c>
      <c r="K6" s="8" t="n">
        <f aca="false">COUNTIFS('Task Tracker'!$B$2:$B$61,A6,'Task Tracker'!$K$2:$K$61,"Done")</f>
        <v>0</v>
      </c>
      <c r="L6" s="8" t="n">
        <f aca="false">COUNTIFS('Task Tracker'!$B$2:$B$61,A6,'Task Tracker'!$K$2:$K$61,"In Progress")</f>
        <v>0</v>
      </c>
      <c r="M6" s="8" t="n">
        <f aca="false">COUNTIFS('Task Tracker'!$B$2:$B$61,A6,'Task Tracker'!$K$2:$K$61,"Blocked")</f>
        <v>0</v>
      </c>
      <c r="N6" s="8" t="n">
        <f aca="false">COUNTIFS('Task Tracker'!$B$2:$B$61,A6,'Task Tracker'!$G$2:$G$61,"M",'Task Tracker'!$K$2:$K$61,"&lt;&gt;Done",'Task Tracker'!$K$2:$K$61,"&lt;&gt;Cut")</f>
        <v>7</v>
      </c>
    </row>
    <row r="7" customFormat="false" ht="23.85" hidden="false" customHeight="false" outlineLevel="0" collapsed="false">
      <c r="A7" s="10" t="s">
        <v>22</v>
      </c>
      <c r="B7" s="5" t="s">
        <v>23</v>
      </c>
      <c r="C7" s="5" t="s">
        <v>24</v>
      </c>
      <c r="D7" s="6" t="n">
        <f aca="false">SUMIFS('Task Tracker'!$H$2:$H$61,'Task Tracker'!$B$2:$B$61,A7)</f>
        <v>20</v>
      </c>
      <c r="E7" s="6" t="n">
        <f aca="false">SUM('Shared Work'!$D$5:$D$9)</f>
        <v>5</v>
      </c>
      <c r="F7" s="6" t="n">
        <f aca="false">D7+E7</f>
        <v>25</v>
      </c>
      <c r="G7" s="6" t="n">
        <f aca="false">SUMIFS('Task Tracker'!$H$2:$H$61,'Task Tracker'!$B$2:$B$61,A7,'Task Tracker'!$K$2:$K$61,"&lt;&gt;Cut")</f>
        <v>20</v>
      </c>
      <c r="H7" s="6" t="n">
        <f aca="false">SUMIFS('Task Tracker'!$M$2:$M$61,'Task Tracker'!$B$2:$B$61,A7)</f>
        <v>0</v>
      </c>
      <c r="I7" s="7" t="n">
        <f aca="false">IF(G7=0,0,H7/G7)</f>
        <v>0</v>
      </c>
      <c r="J7" s="8" t="n">
        <f aca="false">COUNTIFS('Task Tracker'!$B$2:$B$61,A7)</f>
        <v>12</v>
      </c>
      <c r="K7" s="8" t="n">
        <f aca="false">COUNTIFS('Task Tracker'!$B$2:$B$61,A7,'Task Tracker'!$K$2:$K$61,"Done")</f>
        <v>0</v>
      </c>
      <c r="L7" s="8" t="n">
        <f aca="false">COUNTIFS('Task Tracker'!$B$2:$B$61,A7,'Task Tracker'!$K$2:$K$61,"In Progress")</f>
        <v>0</v>
      </c>
      <c r="M7" s="8" t="n">
        <f aca="false">COUNTIFS('Task Tracker'!$B$2:$B$61,A7,'Task Tracker'!$K$2:$K$61,"Blocked")</f>
        <v>0</v>
      </c>
      <c r="N7" s="8" t="n">
        <f aca="false">COUNTIFS('Task Tracker'!$B$2:$B$61,A7,'Task Tracker'!$G$2:$G$61,"M",'Task Tracker'!$K$2:$K$61,"&lt;&gt;Done",'Task Tracker'!$K$2:$K$61,"&lt;&gt;Cut")</f>
        <v>8</v>
      </c>
    </row>
    <row r="8" customFormat="false" ht="15" hidden="false" customHeight="false" outlineLevel="0" collapsed="false">
      <c r="A8" s="11" t="s">
        <v>25</v>
      </c>
      <c r="B8" s="5" t="s">
        <v>26</v>
      </c>
      <c r="C8" s="5" t="s">
        <v>27</v>
      </c>
      <c r="D8" s="6" t="n">
        <f aca="false">SUMIFS('Task Tracker'!$H$2:$H$61,'Task Tracker'!$B$2:$B$61,A8)</f>
        <v>20</v>
      </c>
      <c r="E8" s="6" t="n">
        <f aca="false">SUM('Shared Work'!$D$5:$D$9)</f>
        <v>5</v>
      </c>
      <c r="F8" s="6" t="n">
        <f aca="false">D8+E8</f>
        <v>25</v>
      </c>
      <c r="G8" s="6" t="n">
        <f aca="false">SUMIFS('Task Tracker'!$H$2:$H$61,'Task Tracker'!$B$2:$B$61,A8,'Task Tracker'!$K$2:$K$61,"&lt;&gt;Cut")</f>
        <v>20</v>
      </c>
      <c r="H8" s="6" t="n">
        <f aca="false">SUMIFS('Task Tracker'!$M$2:$M$61,'Task Tracker'!$B$2:$B$61,A8)</f>
        <v>0</v>
      </c>
      <c r="I8" s="7" t="n">
        <f aca="false">IF(G8=0,0,H8/G8)</f>
        <v>0</v>
      </c>
      <c r="J8" s="8" t="n">
        <f aca="false">COUNTIFS('Task Tracker'!$B$2:$B$61,A8)</f>
        <v>12</v>
      </c>
      <c r="K8" s="8" t="n">
        <f aca="false">COUNTIFS('Task Tracker'!$B$2:$B$61,A8,'Task Tracker'!$K$2:$K$61,"Done")</f>
        <v>0</v>
      </c>
      <c r="L8" s="8" t="n">
        <f aca="false">COUNTIFS('Task Tracker'!$B$2:$B$61,A8,'Task Tracker'!$K$2:$K$61,"In Progress")</f>
        <v>0</v>
      </c>
      <c r="M8" s="8" t="n">
        <f aca="false">COUNTIFS('Task Tracker'!$B$2:$B$61,A8,'Task Tracker'!$K$2:$K$61,"Blocked")</f>
        <v>0</v>
      </c>
      <c r="N8" s="8" t="n">
        <f aca="false">COUNTIFS('Task Tracker'!$B$2:$B$61,A8,'Task Tracker'!$G$2:$G$61,"M",'Task Tracker'!$K$2:$K$61,"&lt;&gt;Done",'Task Tracker'!$K$2:$K$61,"&lt;&gt;Cut")</f>
        <v>7</v>
      </c>
    </row>
    <row r="9" customFormat="false" ht="15" hidden="false" customHeight="false" outlineLevel="0" collapsed="false">
      <c r="A9" s="12" t="s">
        <v>28</v>
      </c>
      <c r="B9" s="5" t="s">
        <v>29</v>
      </c>
      <c r="C9" s="5" t="s">
        <v>30</v>
      </c>
      <c r="D9" s="6" t="n">
        <f aca="false">SUMIFS('Task Tracker'!$H$2:$H$61,'Task Tracker'!$B$2:$B$61,A9)</f>
        <v>19.5</v>
      </c>
      <c r="E9" s="6" t="n">
        <f aca="false">SUM('Shared Work'!$D$5:$D$9)</f>
        <v>5</v>
      </c>
      <c r="F9" s="6" t="n">
        <f aca="false">D9+E9</f>
        <v>24.5</v>
      </c>
      <c r="G9" s="6" t="n">
        <f aca="false">SUMIFS('Task Tracker'!$H$2:$H$61,'Task Tracker'!$B$2:$B$61,A9,'Task Tracker'!$K$2:$K$61,"&lt;&gt;Cut")</f>
        <v>19.5</v>
      </c>
      <c r="H9" s="6" t="n">
        <f aca="false">SUMIFS('Task Tracker'!$M$2:$M$61,'Task Tracker'!$B$2:$B$61,A9)</f>
        <v>0</v>
      </c>
      <c r="I9" s="7" t="n">
        <f aca="false">IF(G9=0,0,H9/G9)</f>
        <v>0</v>
      </c>
      <c r="J9" s="8" t="n">
        <f aca="false">COUNTIFS('Task Tracker'!$B$2:$B$61,A9)</f>
        <v>12</v>
      </c>
      <c r="K9" s="8" t="n">
        <f aca="false">COUNTIFS('Task Tracker'!$B$2:$B$61,A9,'Task Tracker'!$K$2:$K$61,"Done")</f>
        <v>0</v>
      </c>
      <c r="L9" s="8" t="n">
        <f aca="false">COUNTIFS('Task Tracker'!$B$2:$B$61,A9,'Task Tracker'!$K$2:$K$61,"In Progress")</f>
        <v>0</v>
      </c>
      <c r="M9" s="8" t="n">
        <f aca="false">COUNTIFS('Task Tracker'!$B$2:$B$61,A9,'Task Tracker'!$K$2:$K$61,"Blocked")</f>
        <v>0</v>
      </c>
      <c r="N9" s="8" t="n">
        <f aca="false">COUNTIFS('Task Tracker'!$B$2:$B$61,A9,'Task Tracker'!$G$2:$G$61,"M",'Task Tracker'!$K$2:$K$61,"&lt;&gt;Done",'Task Tracker'!$K$2:$K$61,"&lt;&gt;Cut")</f>
        <v>11</v>
      </c>
    </row>
    <row r="10" customFormat="false" ht="15" hidden="false" customHeight="false" outlineLevel="0" collapsed="false">
      <c r="A10" s="13" t="s">
        <v>31</v>
      </c>
      <c r="B10" s="13"/>
      <c r="C10" s="13"/>
      <c r="D10" s="14" t="n">
        <f aca="false">SUM(D5:D9)</f>
        <v>99.5</v>
      </c>
      <c r="E10" s="14" t="n">
        <f aca="false">SUM(E5:E9)</f>
        <v>25</v>
      </c>
      <c r="F10" s="14" t="n">
        <f aca="false">SUM(F5:F9)</f>
        <v>124.5</v>
      </c>
      <c r="G10" s="14" t="n">
        <f aca="false">SUM(G5:G9)</f>
        <v>99.5</v>
      </c>
      <c r="H10" s="14" t="n">
        <f aca="false">SUM(H5:H9)</f>
        <v>0</v>
      </c>
      <c r="I10" s="15" t="n">
        <f aca="false">IF(G10=0,0,H10/G10)</f>
        <v>0</v>
      </c>
      <c r="J10" s="16" t="n">
        <f aca="false">SUM(J5:J9)</f>
        <v>60</v>
      </c>
      <c r="K10" s="16" t="n">
        <f aca="false">SUM(K5:K9)</f>
        <v>0</v>
      </c>
      <c r="L10" s="16" t="n">
        <f aca="false">SUM(L5:L9)</f>
        <v>0</v>
      </c>
      <c r="M10" s="16" t="n">
        <f aca="false">SUM(M5:M9)</f>
        <v>0</v>
      </c>
      <c r="N10" s="16" t="n">
        <f aca="false">SUM(N5:N9)</f>
        <v>42</v>
      </c>
    </row>
    <row r="12" customFormat="false" ht="15" hidden="false" customHeight="false" outlineLevel="0" collapsed="false">
      <c r="A12" s="17" t="s">
        <v>32</v>
      </c>
    </row>
    <row r="13" customFormat="false" ht="15" hidden="false" customHeight="false" outlineLevel="0" collapsed="false">
      <c r="A13" s="18" t="s">
        <v>33</v>
      </c>
      <c r="D13" s="19" t="n">
        <f aca="false">AVERAGE(F5:F9)</f>
        <v>24.9</v>
      </c>
    </row>
    <row r="14" customFormat="false" ht="15" hidden="false" customHeight="false" outlineLevel="0" collapsed="false">
      <c r="A14" s="18" t="s">
        <v>34</v>
      </c>
      <c r="D14" s="19" t="n">
        <f aca="false">MAX(F5:F9)-MIN(F5:F9)</f>
        <v>0.5</v>
      </c>
    </row>
    <row r="15" customFormat="false" ht="15" hidden="false" customHeight="false" outlineLevel="0" collapsed="false">
      <c r="A15" s="18" t="s">
        <v>35</v>
      </c>
      <c r="D15" s="19" t="str">
        <f aca="false">IF(D14&lt;=1,"Balanced","Review split")</f>
        <v>Balanced</v>
      </c>
    </row>
    <row r="17" customFormat="false" ht="15" hidden="false" customHeight="false" outlineLevel="0" collapsed="false">
      <c r="A17" s="17" t="s">
        <v>36</v>
      </c>
    </row>
    <row r="18" customFormat="false" ht="15" hidden="false" customHeight="false" outlineLevel="0" collapsed="false">
      <c r="A18" s="3" t="s">
        <v>37</v>
      </c>
      <c r="B18" s="3" t="s">
        <v>38</v>
      </c>
      <c r="C18" s="3" t="s">
        <v>11</v>
      </c>
      <c r="D18" s="3" t="s">
        <v>39</v>
      </c>
      <c r="E18" s="3" t="s">
        <v>12</v>
      </c>
    </row>
    <row r="19" customFormat="false" ht="15" hidden="false" customHeight="false" outlineLevel="0" collapsed="false">
      <c r="A19" s="20" t="s">
        <v>40</v>
      </c>
      <c r="B19" s="20" t="s">
        <v>41</v>
      </c>
      <c r="C19" s="20" t="n">
        <f aca="false">COUNTIFS('Task Tracker'!$G$2:$G$61,A19)</f>
        <v>42</v>
      </c>
      <c r="D19" s="21" t="n">
        <f aca="false">SUMIFS('Task Tracker'!$H$2:$H$61,'Task Tracker'!$G$2:$G$61,A19)</f>
        <v>72.5</v>
      </c>
      <c r="E19" s="20" t="n">
        <f aca="false">COUNTIFS('Task Tracker'!$G$2:$G$61,A19,'Task Tracker'!$K$2:$K$61,"Done")</f>
        <v>0</v>
      </c>
    </row>
    <row r="20" customFormat="false" ht="15" hidden="false" customHeight="false" outlineLevel="0" collapsed="false">
      <c r="A20" s="20" t="s">
        <v>42</v>
      </c>
      <c r="B20" s="20" t="s">
        <v>43</v>
      </c>
      <c r="C20" s="20" t="n">
        <f aca="false">COUNTIFS('Task Tracker'!$G$2:$G$61,A20)</f>
        <v>14</v>
      </c>
      <c r="D20" s="21" t="n">
        <f aca="false">SUMIFS('Task Tracker'!$H$2:$H$61,'Task Tracker'!$G$2:$G$61,A20)</f>
        <v>22.5</v>
      </c>
      <c r="E20" s="20" t="n">
        <f aca="false">COUNTIFS('Task Tracker'!$G$2:$G$61,A20,'Task Tracker'!$K$2:$K$61,"Done")</f>
        <v>0</v>
      </c>
    </row>
    <row r="21" customFormat="false" ht="15" hidden="false" customHeight="false" outlineLevel="0" collapsed="false">
      <c r="A21" s="20" t="s">
        <v>44</v>
      </c>
      <c r="B21" s="20" t="s">
        <v>45</v>
      </c>
      <c r="C21" s="20" t="n">
        <f aca="false">COUNTIFS('Task Tracker'!$G$2:$G$61,A21)</f>
        <v>4</v>
      </c>
      <c r="D21" s="21" t="n">
        <f aca="false">SUMIFS('Task Tracker'!$H$2:$H$61,'Task Tracker'!$G$2:$G$61,A21)</f>
        <v>4.5</v>
      </c>
      <c r="E21" s="20" t="n">
        <f aca="false">COUNTIFS('Task Tracker'!$G$2:$G$61,A21,'Task Tracker'!$K$2:$K$61,"Done")</f>
        <v>0</v>
      </c>
    </row>
    <row r="23" customFormat="false" ht="15" hidden="false" customHeight="false" outlineLevel="0" collapsed="false">
      <c r="A23" s="17" t="s">
        <v>46</v>
      </c>
    </row>
    <row r="24" customFormat="false" ht="15" hidden="false" customHeight="false" outlineLevel="0" collapsed="false">
      <c r="A24" s="18" t="s">
        <v>47</v>
      </c>
    </row>
    <row r="25" customFormat="false" ht="15" hidden="false" customHeight="false" outlineLevel="0" collapsed="false">
      <c r="A25" s="18" t="s">
        <v>48</v>
      </c>
    </row>
    <row r="26" customFormat="false" ht="15" hidden="false" customHeight="false" outlineLevel="0" collapsed="false">
      <c r="A26" s="18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60"/>
    <col collapsed="false" customWidth="true" hidden="false" outlineLevel="0" max="6" min="6" style="0" width="18"/>
    <col collapsed="false" customWidth="true" hidden="false" outlineLevel="0" max="7" min="7" style="0" width="6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4" min="13" style="0" width="10"/>
    <col collapsed="false" customWidth="true" hidden="false" outlineLevel="0" max="15" min="15" style="0" width="30"/>
  </cols>
  <sheetData>
    <row r="1" customFormat="false" ht="31.5" hidden="false" customHeight="true" outlineLevel="0" collapsed="false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37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  <c r="M1" s="3" t="s">
        <v>9</v>
      </c>
      <c r="N1" s="3" t="s">
        <v>61</v>
      </c>
      <c r="O1" s="3" t="s">
        <v>62</v>
      </c>
    </row>
    <row r="2" customFormat="false" ht="23.85" hidden="false" customHeight="false" outlineLevel="0" collapsed="false">
      <c r="A2" s="22" t="s">
        <v>63</v>
      </c>
      <c r="B2" s="23" t="s">
        <v>16</v>
      </c>
      <c r="C2" s="5" t="str">
        <f aca="false">INDEX(Summary!$B$5:$B$9,MATCH(B2,Summary!$A$5:$A$9,0))</f>
        <v>Engine Lead</v>
      </c>
      <c r="D2" s="5" t="s">
        <v>64</v>
      </c>
      <c r="E2" s="5" t="s">
        <v>65</v>
      </c>
      <c r="F2" s="5" t="s">
        <v>66</v>
      </c>
      <c r="G2" s="22" t="s">
        <v>40</v>
      </c>
      <c r="H2" s="24" t="n">
        <v>1.5</v>
      </c>
      <c r="I2" s="22" t="s">
        <v>67</v>
      </c>
      <c r="J2" s="5" t="s">
        <v>68</v>
      </c>
      <c r="K2" s="24" t="s">
        <v>69</v>
      </c>
      <c r="L2" s="25" t="n">
        <v>0</v>
      </c>
      <c r="M2" s="22" t="n">
        <f aca="false">ROUND(H2*L2,2)</f>
        <v>0</v>
      </c>
      <c r="N2" s="22" t="n">
        <f aca="false">H2-M2</f>
        <v>1.5</v>
      </c>
      <c r="O2" s="26"/>
    </row>
    <row r="3" customFormat="false" ht="23.85" hidden="false" customHeight="false" outlineLevel="0" collapsed="false">
      <c r="A3" s="22" t="s">
        <v>70</v>
      </c>
      <c r="B3" s="23" t="s">
        <v>16</v>
      </c>
      <c r="C3" s="5" t="str">
        <f aca="false">INDEX(Summary!$B$5:$B$9,MATCH(B3,Summary!$A$5:$A$9,0))</f>
        <v>Engine Lead</v>
      </c>
      <c r="D3" s="5" t="s">
        <v>71</v>
      </c>
      <c r="E3" s="5" t="s">
        <v>72</v>
      </c>
      <c r="F3" s="5" t="s">
        <v>73</v>
      </c>
      <c r="G3" s="22" t="s">
        <v>40</v>
      </c>
      <c r="H3" s="24" t="n">
        <v>1</v>
      </c>
      <c r="I3" s="22" t="s">
        <v>74</v>
      </c>
      <c r="J3" s="5" t="s">
        <v>63</v>
      </c>
      <c r="K3" s="24" t="s">
        <v>69</v>
      </c>
      <c r="L3" s="25" t="n">
        <v>0</v>
      </c>
      <c r="M3" s="22" t="n">
        <f aca="false">ROUND(H3*L3,2)</f>
        <v>0</v>
      </c>
      <c r="N3" s="22" t="n">
        <f aca="false">H3-M3</f>
        <v>1</v>
      </c>
      <c r="O3" s="26"/>
    </row>
    <row r="4" customFormat="false" ht="23.85" hidden="false" customHeight="false" outlineLevel="0" collapsed="false">
      <c r="A4" s="22" t="s">
        <v>75</v>
      </c>
      <c r="B4" s="23" t="s">
        <v>16</v>
      </c>
      <c r="C4" s="5" t="str">
        <f aca="false">INDEX(Summary!$B$5:$B$9,MATCH(B4,Summary!$A$5:$A$9,0))</f>
        <v>Engine Lead</v>
      </c>
      <c r="D4" s="5" t="s">
        <v>76</v>
      </c>
      <c r="E4" s="5" t="s">
        <v>77</v>
      </c>
      <c r="F4" s="5" t="s">
        <v>78</v>
      </c>
      <c r="G4" s="22" t="s">
        <v>40</v>
      </c>
      <c r="H4" s="24" t="n">
        <v>4</v>
      </c>
      <c r="I4" s="22" t="s">
        <v>79</v>
      </c>
      <c r="J4" s="5" t="s">
        <v>63</v>
      </c>
      <c r="K4" s="24" t="s">
        <v>69</v>
      </c>
      <c r="L4" s="25" t="n">
        <v>0</v>
      </c>
      <c r="M4" s="22" t="n">
        <f aca="false">ROUND(H4*L4,2)</f>
        <v>0</v>
      </c>
      <c r="N4" s="22" t="n">
        <f aca="false">H4-M4</f>
        <v>4</v>
      </c>
      <c r="O4" s="26"/>
    </row>
    <row r="5" customFormat="false" ht="23.85" hidden="false" customHeight="false" outlineLevel="0" collapsed="false">
      <c r="A5" s="22" t="s">
        <v>80</v>
      </c>
      <c r="B5" s="23" t="s">
        <v>16</v>
      </c>
      <c r="C5" s="5" t="str">
        <f aca="false">INDEX(Summary!$B$5:$B$9,MATCH(B5,Summary!$A$5:$A$9,0))</f>
        <v>Engine Lead</v>
      </c>
      <c r="D5" s="5" t="s">
        <v>81</v>
      </c>
      <c r="E5" s="5" t="s">
        <v>82</v>
      </c>
      <c r="F5" s="5" t="s">
        <v>83</v>
      </c>
      <c r="G5" s="22" t="s">
        <v>42</v>
      </c>
      <c r="H5" s="24" t="n">
        <v>1.5</v>
      </c>
      <c r="I5" s="22" t="s">
        <v>84</v>
      </c>
      <c r="J5" s="5" t="s">
        <v>75</v>
      </c>
      <c r="K5" s="24" t="s">
        <v>69</v>
      </c>
      <c r="L5" s="25" t="n">
        <v>0</v>
      </c>
      <c r="M5" s="22" t="n">
        <f aca="false">ROUND(H5*L5,2)</f>
        <v>0</v>
      </c>
      <c r="N5" s="22" t="n">
        <f aca="false">H5-M5</f>
        <v>1.5</v>
      </c>
      <c r="O5" s="26"/>
    </row>
    <row r="6" customFormat="false" ht="23.85" hidden="false" customHeight="false" outlineLevel="0" collapsed="false">
      <c r="A6" s="22" t="s">
        <v>85</v>
      </c>
      <c r="B6" s="23" t="s">
        <v>16</v>
      </c>
      <c r="C6" s="5" t="str">
        <f aca="false">INDEX(Summary!$B$5:$B$9,MATCH(B6,Summary!$A$5:$A$9,0))</f>
        <v>Engine Lead</v>
      </c>
      <c r="D6" s="5" t="s">
        <v>86</v>
      </c>
      <c r="E6" s="5" t="s">
        <v>87</v>
      </c>
      <c r="F6" s="5" t="s">
        <v>88</v>
      </c>
      <c r="G6" s="22" t="s">
        <v>40</v>
      </c>
      <c r="H6" s="24" t="n">
        <v>1.5</v>
      </c>
      <c r="I6" s="22" t="s">
        <v>89</v>
      </c>
      <c r="J6" s="5" t="s">
        <v>75</v>
      </c>
      <c r="K6" s="24" t="s">
        <v>69</v>
      </c>
      <c r="L6" s="25" t="n">
        <v>0</v>
      </c>
      <c r="M6" s="22" t="n">
        <f aca="false">ROUND(H6*L6,2)</f>
        <v>0</v>
      </c>
      <c r="N6" s="22" t="n">
        <f aca="false">H6-M6</f>
        <v>1.5</v>
      </c>
      <c r="O6" s="26"/>
    </row>
    <row r="7" customFormat="false" ht="23.85" hidden="false" customHeight="false" outlineLevel="0" collapsed="false">
      <c r="A7" s="22" t="s">
        <v>90</v>
      </c>
      <c r="B7" s="23" t="s">
        <v>16</v>
      </c>
      <c r="C7" s="5" t="str">
        <f aca="false">INDEX(Summary!$B$5:$B$9,MATCH(B7,Summary!$A$5:$A$9,0))</f>
        <v>Engine Lead</v>
      </c>
      <c r="D7" s="5" t="s">
        <v>91</v>
      </c>
      <c r="E7" s="5" t="s">
        <v>92</v>
      </c>
      <c r="F7" s="5" t="s">
        <v>93</v>
      </c>
      <c r="G7" s="22" t="s">
        <v>40</v>
      </c>
      <c r="H7" s="24" t="n">
        <v>0.5</v>
      </c>
      <c r="I7" s="22" t="s">
        <v>89</v>
      </c>
      <c r="J7" s="5" t="s">
        <v>75</v>
      </c>
      <c r="K7" s="24" t="s">
        <v>69</v>
      </c>
      <c r="L7" s="25" t="n">
        <v>0</v>
      </c>
      <c r="M7" s="22" t="n">
        <f aca="false">ROUND(H7*L7,2)</f>
        <v>0</v>
      </c>
      <c r="N7" s="22" t="n">
        <f aca="false">H7-M7</f>
        <v>0.5</v>
      </c>
      <c r="O7" s="26"/>
    </row>
    <row r="8" customFormat="false" ht="15" hidden="false" customHeight="false" outlineLevel="0" collapsed="false">
      <c r="A8" s="22" t="s">
        <v>94</v>
      </c>
      <c r="B8" s="23" t="s">
        <v>16</v>
      </c>
      <c r="C8" s="5" t="str">
        <f aca="false">INDEX(Summary!$B$5:$B$9,MATCH(B8,Summary!$A$5:$A$9,0))</f>
        <v>Engine Lead</v>
      </c>
      <c r="D8" s="5" t="s">
        <v>95</v>
      </c>
      <c r="E8" s="5" t="s">
        <v>96</v>
      </c>
      <c r="F8" s="5" t="s">
        <v>97</v>
      </c>
      <c r="G8" s="22" t="s">
        <v>40</v>
      </c>
      <c r="H8" s="24" t="n">
        <v>2.5</v>
      </c>
      <c r="I8" s="22" t="s">
        <v>98</v>
      </c>
      <c r="J8" s="5" t="s">
        <v>85</v>
      </c>
      <c r="K8" s="24" t="s">
        <v>69</v>
      </c>
      <c r="L8" s="25" t="n">
        <v>0</v>
      </c>
      <c r="M8" s="22" t="n">
        <f aca="false">ROUND(H8*L8,2)</f>
        <v>0</v>
      </c>
      <c r="N8" s="22" t="n">
        <f aca="false">H8-M8</f>
        <v>2.5</v>
      </c>
      <c r="O8" s="26"/>
    </row>
    <row r="9" customFormat="false" ht="23.85" hidden="false" customHeight="false" outlineLevel="0" collapsed="false">
      <c r="A9" s="22" t="s">
        <v>99</v>
      </c>
      <c r="B9" s="23" t="s">
        <v>16</v>
      </c>
      <c r="C9" s="5" t="str">
        <f aca="false">INDEX(Summary!$B$5:$B$9,MATCH(B9,Summary!$A$5:$A$9,0))</f>
        <v>Engine Lead</v>
      </c>
      <c r="D9" s="5" t="s">
        <v>100</v>
      </c>
      <c r="E9" s="5" t="s">
        <v>101</v>
      </c>
      <c r="F9" s="5" t="s">
        <v>102</v>
      </c>
      <c r="G9" s="22" t="s">
        <v>40</v>
      </c>
      <c r="H9" s="24" t="n">
        <v>1.5</v>
      </c>
      <c r="I9" s="22" t="s">
        <v>103</v>
      </c>
      <c r="J9" s="5" t="s">
        <v>94</v>
      </c>
      <c r="K9" s="24" t="s">
        <v>69</v>
      </c>
      <c r="L9" s="25" t="n">
        <v>0</v>
      </c>
      <c r="M9" s="22" t="n">
        <f aca="false">ROUND(H9*L9,2)</f>
        <v>0</v>
      </c>
      <c r="N9" s="22" t="n">
        <f aca="false">H9-M9</f>
        <v>1.5</v>
      </c>
      <c r="O9" s="26"/>
    </row>
    <row r="10" customFormat="false" ht="23.85" hidden="false" customHeight="false" outlineLevel="0" collapsed="false">
      <c r="A10" s="22" t="s">
        <v>104</v>
      </c>
      <c r="B10" s="23" t="s">
        <v>16</v>
      </c>
      <c r="C10" s="5" t="str">
        <f aca="false">INDEX(Summary!$B$5:$B$9,MATCH(B10,Summary!$A$5:$A$9,0))</f>
        <v>Engine Lead</v>
      </c>
      <c r="D10" s="5" t="s">
        <v>105</v>
      </c>
      <c r="E10" s="5" t="s">
        <v>106</v>
      </c>
      <c r="F10" s="5" t="s">
        <v>45</v>
      </c>
      <c r="G10" s="22" t="s">
        <v>44</v>
      </c>
      <c r="H10" s="24" t="n">
        <v>1.5</v>
      </c>
      <c r="I10" s="22" t="s">
        <v>107</v>
      </c>
      <c r="J10" s="5" t="s">
        <v>90</v>
      </c>
      <c r="K10" s="24" t="s">
        <v>69</v>
      </c>
      <c r="L10" s="25" t="n">
        <v>0</v>
      </c>
      <c r="M10" s="22" t="n">
        <f aca="false">ROUND(H10*L10,2)</f>
        <v>0</v>
      </c>
      <c r="N10" s="22" t="n">
        <f aca="false">H10-M10</f>
        <v>1.5</v>
      </c>
      <c r="O10" s="26"/>
    </row>
    <row r="11" customFormat="false" ht="23.85" hidden="false" customHeight="false" outlineLevel="0" collapsed="false">
      <c r="A11" s="22" t="s">
        <v>108</v>
      </c>
      <c r="B11" s="23" t="s">
        <v>16</v>
      </c>
      <c r="C11" s="5" t="str">
        <f aca="false">INDEX(Summary!$B$5:$B$9,MATCH(B11,Summary!$A$5:$A$9,0))</f>
        <v>Engine Lead</v>
      </c>
      <c r="D11" s="5" t="s">
        <v>109</v>
      </c>
      <c r="E11" s="5" t="s">
        <v>110</v>
      </c>
      <c r="F11" s="5" t="s">
        <v>111</v>
      </c>
      <c r="G11" s="22" t="s">
        <v>40</v>
      </c>
      <c r="H11" s="24" t="n">
        <v>2.5</v>
      </c>
      <c r="I11" s="22" t="s">
        <v>112</v>
      </c>
      <c r="J11" s="5" t="s">
        <v>75</v>
      </c>
      <c r="K11" s="24" t="s">
        <v>69</v>
      </c>
      <c r="L11" s="25" t="n">
        <v>0</v>
      </c>
      <c r="M11" s="22" t="n">
        <f aca="false">ROUND(H11*L11,2)</f>
        <v>0</v>
      </c>
      <c r="N11" s="22" t="n">
        <f aca="false">H11-M11</f>
        <v>2.5</v>
      </c>
      <c r="O11" s="26"/>
    </row>
    <row r="12" customFormat="false" ht="15" hidden="false" customHeight="false" outlineLevel="0" collapsed="false">
      <c r="A12" s="22" t="s">
        <v>113</v>
      </c>
      <c r="B12" s="23" t="s">
        <v>16</v>
      </c>
      <c r="C12" s="5" t="str">
        <f aca="false">INDEX(Summary!$B$5:$B$9,MATCH(B12,Summary!$A$5:$A$9,0))</f>
        <v>Engine Lead</v>
      </c>
      <c r="D12" s="5" t="s">
        <v>114</v>
      </c>
      <c r="E12" s="5" t="s">
        <v>115</v>
      </c>
      <c r="F12" s="5" t="s">
        <v>116</v>
      </c>
      <c r="G12" s="22" t="s">
        <v>42</v>
      </c>
      <c r="H12" s="24" t="n">
        <v>1.5</v>
      </c>
      <c r="I12" s="22" t="s">
        <v>117</v>
      </c>
      <c r="J12" s="5" t="s">
        <v>85</v>
      </c>
      <c r="K12" s="24" t="s">
        <v>69</v>
      </c>
      <c r="L12" s="25" t="n">
        <v>0</v>
      </c>
      <c r="M12" s="22" t="n">
        <f aca="false">ROUND(H12*L12,2)</f>
        <v>0</v>
      </c>
      <c r="N12" s="22" t="n">
        <f aca="false">H12-M12</f>
        <v>1.5</v>
      </c>
      <c r="O12" s="26"/>
    </row>
    <row r="13" customFormat="false" ht="15" hidden="false" customHeight="false" outlineLevel="0" collapsed="false">
      <c r="A13" s="22" t="s">
        <v>118</v>
      </c>
      <c r="B13" s="23" t="s">
        <v>16</v>
      </c>
      <c r="C13" s="5" t="str">
        <f aca="false">INDEX(Summary!$B$5:$B$9,MATCH(B13,Summary!$A$5:$A$9,0))</f>
        <v>Engine Lead</v>
      </c>
      <c r="D13" s="5" t="s">
        <v>119</v>
      </c>
      <c r="E13" s="5" t="s">
        <v>120</v>
      </c>
      <c r="F13" s="5" t="s">
        <v>121</v>
      </c>
      <c r="G13" s="22" t="s">
        <v>40</v>
      </c>
      <c r="H13" s="24" t="n">
        <v>0.5</v>
      </c>
      <c r="I13" s="22" t="s">
        <v>122</v>
      </c>
      <c r="J13" s="5" t="s">
        <v>75</v>
      </c>
      <c r="K13" s="24" t="s">
        <v>69</v>
      </c>
      <c r="L13" s="25" t="n">
        <v>0</v>
      </c>
      <c r="M13" s="22" t="n">
        <f aca="false">ROUND(H13*L13,2)</f>
        <v>0</v>
      </c>
      <c r="N13" s="22" t="n">
        <f aca="false">H13-M13</f>
        <v>0.5</v>
      </c>
      <c r="O13" s="26"/>
    </row>
    <row r="14" customFormat="false" ht="23.85" hidden="false" customHeight="false" outlineLevel="0" collapsed="false">
      <c r="A14" s="22" t="s">
        <v>123</v>
      </c>
      <c r="B14" s="27" t="s">
        <v>19</v>
      </c>
      <c r="C14" s="5" t="str">
        <f aca="false">INDEX(Summary!$B$5:$B$9,MATCH(B14,Summary!$A$5:$A$9,0))</f>
        <v>Config &amp; Governance Lead</v>
      </c>
      <c r="D14" s="5" t="s">
        <v>124</v>
      </c>
      <c r="E14" s="5" t="s">
        <v>125</v>
      </c>
      <c r="F14" s="5" t="s">
        <v>126</v>
      </c>
      <c r="G14" s="22" t="s">
        <v>40</v>
      </c>
      <c r="H14" s="24" t="n">
        <v>1.5</v>
      </c>
      <c r="I14" s="22" t="s">
        <v>67</v>
      </c>
      <c r="J14" s="5" t="s">
        <v>68</v>
      </c>
      <c r="K14" s="24" t="s">
        <v>69</v>
      </c>
      <c r="L14" s="25" t="n">
        <v>0</v>
      </c>
      <c r="M14" s="22" t="n">
        <f aca="false">ROUND(H14*L14,2)</f>
        <v>0</v>
      </c>
      <c r="N14" s="22" t="n">
        <f aca="false">H14-M14</f>
        <v>1.5</v>
      </c>
      <c r="O14" s="26"/>
    </row>
    <row r="15" customFormat="false" ht="23.85" hidden="false" customHeight="false" outlineLevel="0" collapsed="false">
      <c r="A15" s="22" t="s">
        <v>127</v>
      </c>
      <c r="B15" s="27" t="s">
        <v>19</v>
      </c>
      <c r="C15" s="5" t="str">
        <f aca="false">INDEX(Summary!$B$5:$B$9,MATCH(B15,Summary!$A$5:$A$9,0))</f>
        <v>Config &amp; Governance Lead</v>
      </c>
      <c r="D15" s="5" t="s">
        <v>128</v>
      </c>
      <c r="E15" s="5" t="s">
        <v>129</v>
      </c>
      <c r="F15" s="5" t="s">
        <v>130</v>
      </c>
      <c r="G15" s="22" t="s">
        <v>40</v>
      </c>
      <c r="H15" s="24" t="n">
        <v>2</v>
      </c>
      <c r="I15" s="22" t="s">
        <v>131</v>
      </c>
      <c r="J15" s="5" t="s">
        <v>123</v>
      </c>
      <c r="K15" s="24" t="s">
        <v>69</v>
      </c>
      <c r="L15" s="25" t="n">
        <v>0</v>
      </c>
      <c r="M15" s="22" t="n">
        <f aca="false">ROUND(H15*L15,2)</f>
        <v>0</v>
      </c>
      <c r="N15" s="22" t="n">
        <f aca="false">H15-M15</f>
        <v>2</v>
      </c>
      <c r="O15" s="26"/>
    </row>
    <row r="16" customFormat="false" ht="23.85" hidden="false" customHeight="false" outlineLevel="0" collapsed="false">
      <c r="A16" s="22" t="s">
        <v>132</v>
      </c>
      <c r="B16" s="27" t="s">
        <v>19</v>
      </c>
      <c r="C16" s="5" t="str">
        <f aca="false">INDEX(Summary!$B$5:$B$9,MATCH(B16,Summary!$A$5:$A$9,0))</f>
        <v>Config &amp; Governance Lead</v>
      </c>
      <c r="D16" s="5" t="s">
        <v>133</v>
      </c>
      <c r="E16" s="5" t="s">
        <v>134</v>
      </c>
      <c r="F16" s="5" t="s">
        <v>135</v>
      </c>
      <c r="G16" s="22" t="s">
        <v>40</v>
      </c>
      <c r="H16" s="24" t="n">
        <v>1.5</v>
      </c>
      <c r="I16" s="22" t="s">
        <v>112</v>
      </c>
      <c r="J16" s="5" t="s">
        <v>127</v>
      </c>
      <c r="K16" s="24" t="s">
        <v>69</v>
      </c>
      <c r="L16" s="25" t="n">
        <v>0</v>
      </c>
      <c r="M16" s="22" t="n">
        <f aca="false">ROUND(H16*L16,2)</f>
        <v>0</v>
      </c>
      <c r="N16" s="22" t="n">
        <f aca="false">H16-M16</f>
        <v>1.5</v>
      </c>
      <c r="O16" s="26"/>
    </row>
    <row r="17" customFormat="false" ht="15" hidden="false" customHeight="false" outlineLevel="0" collapsed="false">
      <c r="A17" s="22" t="s">
        <v>136</v>
      </c>
      <c r="B17" s="27" t="s">
        <v>19</v>
      </c>
      <c r="C17" s="5" t="str">
        <f aca="false">INDEX(Summary!$B$5:$B$9,MATCH(B17,Summary!$A$5:$A$9,0))</f>
        <v>Config &amp; Governance Lead</v>
      </c>
      <c r="D17" s="5" t="s">
        <v>137</v>
      </c>
      <c r="E17" s="5" t="s">
        <v>138</v>
      </c>
      <c r="F17" s="5" t="s">
        <v>139</v>
      </c>
      <c r="G17" s="22" t="s">
        <v>40</v>
      </c>
      <c r="H17" s="24" t="n">
        <v>1</v>
      </c>
      <c r="I17" s="22" t="s">
        <v>112</v>
      </c>
      <c r="J17" s="5" t="s">
        <v>132</v>
      </c>
      <c r="K17" s="24" t="s">
        <v>69</v>
      </c>
      <c r="L17" s="25" t="n">
        <v>0</v>
      </c>
      <c r="M17" s="22" t="n">
        <f aca="false">ROUND(H17*L17,2)</f>
        <v>0</v>
      </c>
      <c r="N17" s="22" t="n">
        <f aca="false">H17-M17</f>
        <v>1</v>
      </c>
      <c r="O17" s="26"/>
    </row>
    <row r="18" customFormat="false" ht="15" hidden="false" customHeight="false" outlineLevel="0" collapsed="false">
      <c r="A18" s="22" t="s">
        <v>140</v>
      </c>
      <c r="B18" s="27" t="s">
        <v>19</v>
      </c>
      <c r="C18" s="5" t="str">
        <f aca="false">INDEX(Summary!$B$5:$B$9,MATCH(B18,Summary!$A$5:$A$9,0))</f>
        <v>Config &amp; Governance Lead</v>
      </c>
      <c r="D18" s="5" t="s">
        <v>141</v>
      </c>
      <c r="E18" s="5" t="s">
        <v>142</v>
      </c>
      <c r="F18" s="5" t="s">
        <v>143</v>
      </c>
      <c r="G18" s="22" t="s">
        <v>42</v>
      </c>
      <c r="H18" s="24" t="n">
        <v>1.5</v>
      </c>
      <c r="I18" s="22" t="s">
        <v>117</v>
      </c>
      <c r="J18" s="5" t="s">
        <v>127</v>
      </c>
      <c r="K18" s="24" t="s">
        <v>69</v>
      </c>
      <c r="L18" s="25" t="n">
        <v>0</v>
      </c>
      <c r="M18" s="22" t="n">
        <f aca="false">ROUND(H18*L18,2)</f>
        <v>0</v>
      </c>
      <c r="N18" s="22" t="n">
        <f aca="false">H18-M18</f>
        <v>1.5</v>
      </c>
      <c r="O18" s="26"/>
    </row>
    <row r="19" customFormat="false" ht="23.85" hidden="false" customHeight="false" outlineLevel="0" collapsed="false">
      <c r="A19" s="22" t="s">
        <v>144</v>
      </c>
      <c r="B19" s="27" t="s">
        <v>19</v>
      </c>
      <c r="C19" s="5" t="str">
        <f aca="false">INDEX(Summary!$B$5:$B$9,MATCH(B19,Summary!$A$5:$A$9,0))</f>
        <v>Config &amp; Governance Lead</v>
      </c>
      <c r="D19" s="5" t="s">
        <v>145</v>
      </c>
      <c r="E19" s="5" t="s">
        <v>146</v>
      </c>
      <c r="F19" s="5" t="s">
        <v>147</v>
      </c>
      <c r="G19" s="22" t="s">
        <v>40</v>
      </c>
      <c r="H19" s="24" t="n">
        <v>1.5</v>
      </c>
      <c r="I19" s="22" t="s">
        <v>84</v>
      </c>
      <c r="J19" s="5" t="s">
        <v>148</v>
      </c>
      <c r="K19" s="24" t="s">
        <v>69</v>
      </c>
      <c r="L19" s="25" t="n">
        <v>0</v>
      </c>
      <c r="M19" s="22" t="n">
        <f aca="false">ROUND(H19*L19,2)</f>
        <v>0</v>
      </c>
      <c r="N19" s="22" t="n">
        <f aca="false">H19-M19</f>
        <v>1.5</v>
      </c>
      <c r="O19" s="26"/>
    </row>
    <row r="20" customFormat="false" ht="23.85" hidden="false" customHeight="false" outlineLevel="0" collapsed="false">
      <c r="A20" s="22" t="s">
        <v>149</v>
      </c>
      <c r="B20" s="27" t="s">
        <v>19</v>
      </c>
      <c r="C20" s="5" t="str">
        <f aca="false">INDEX(Summary!$B$5:$B$9,MATCH(B20,Summary!$A$5:$A$9,0))</f>
        <v>Config &amp; Governance Lead</v>
      </c>
      <c r="D20" s="5" t="s">
        <v>150</v>
      </c>
      <c r="E20" s="5" t="s">
        <v>151</v>
      </c>
      <c r="F20" s="5" t="s">
        <v>152</v>
      </c>
      <c r="G20" s="22" t="s">
        <v>40</v>
      </c>
      <c r="H20" s="24" t="n">
        <v>3.5</v>
      </c>
      <c r="I20" s="22" t="s">
        <v>153</v>
      </c>
      <c r="J20" s="5" t="s">
        <v>144</v>
      </c>
      <c r="K20" s="24" t="s">
        <v>69</v>
      </c>
      <c r="L20" s="25" t="n">
        <v>0</v>
      </c>
      <c r="M20" s="22" t="n">
        <f aca="false">ROUND(H20*L20,2)</f>
        <v>0</v>
      </c>
      <c r="N20" s="22" t="n">
        <f aca="false">H20-M20</f>
        <v>3.5</v>
      </c>
      <c r="O20" s="26"/>
    </row>
    <row r="21" customFormat="false" ht="23.85" hidden="false" customHeight="false" outlineLevel="0" collapsed="false">
      <c r="A21" s="22" t="s">
        <v>154</v>
      </c>
      <c r="B21" s="27" t="s">
        <v>19</v>
      </c>
      <c r="C21" s="5" t="str">
        <f aca="false">INDEX(Summary!$B$5:$B$9,MATCH(B21,Summary!$A$5:$A$9,0))</f>
        <v>Config &amp; Governance Lead</v>
      </c>
      <c r="D21" s="5" t="s">
        <v>155</v>
      </c>
      <c r="E21" s="5" t="s">
        <v>156</v>
      </c>
      <c r="F21" s="5" t="s">
        <v>157</v>
      </c>
      <c r="G21" s="22" t="s">
        <v>42</v>
      </c>
      <c r="H21" s="24" t="n">
        <v>2</v>
      </c>
      <c r="I21" s="22" t="s">
        <v>117</v>
      </c>
      <c r="J21" s="5" t="s">
        <v>158</v>
      </c>
      <c r="K21" s="24" t="s">
        <v>69</v>
      </c>
      <c r="L21" s="25" t="n">
        <v>0</v>
      </c>
      <c r="M21" s="22" t="n">
        <f aca="false">ROUND(H21*L21,2)</f>
        <v>0</v>
      </c>
      <c r="N21" s="22" t="n">
        <f aca="false">H21-M21</f>
        <v>2</v>
      </c>
      <c r="O21" s="26"/>
    </row>
    <row r="22" customFormat="false" ht="15" hidden="false" customHeight="false" outlineLevel="0" collapsed="false">
      <c r="A22" s="22" t="s">
        <v>159</v>
      </c>
      <c r="B22" s="27" t="s">
        <v>19</v>
      </c>
      <c r="C22" s="5" t="str">
        <f aca="false">INDEX(Summary!$B$5:$B$9,MATCH(B22,Summary!$A$5:$A$9,0))</f>
        <v>Config &amp; Governance Lead</v>
      </c>
      <c r="D22" s="5" t="s">
        <v>160</v>
      </c>
      <c r="E22" s="5" t="s">
        <v>161</v>
      </c>
      <c r="F22" s="5" t="s">
        <v>157</v>
      </c>
      <c r="G22" s="22" t="s">
        <v>42</v>
      </c>
      <c r="H22" s="24" t="n">
        <v>2</v>
      </c>
      <c r="I22" s="22" t="s">
        <v>107</v>
      </c>
      <c r="J22" s="5" t="s">
        <v>154</v>
      </c>
      <c r="K22" s="24" t="s">
        <v>69</v>
      </c>
      <c r="L22" s="25" t="n">
        <v>0</v>
      </c>
      <c r="M22" s="22" t="n">
        <f aca="false">ROUND(H22*L22,2)</f>
        <v>0</v>
      </c>
      <c r="N22" s="22" t="n">
        <f aca="false">H22-M22</f>
        <v>2</v>
      </c>
      <c r="O22" s="26"/>
    </row>
    <row r="23" customFormat="false" ht="23.85" hidden="false" customHeight="false" outlineLevel="0" collapsed="false">
      <c r="A23" s="22" t="s">
        <v>162</v>
      </c>
      <c r="B23" s="27" t="s">
        <v>19</v>
      </c>
      <c r="C23" s="5" t="str">
        <f aca="false">INDEX(Summary!$B$5:$B$9,MATCH(B23,Summary!$A$5:$A$9,0))</f>
        <v>Config &amp; Governance Lead</v>
      </c>
      <c r="D23" s="5" t="s">
        <v>163</v>
      </c>
      <c r="E23" s="5" t="s">
        <v>164</v>
      </c>
      <c r="F23" s="5" t="s">
        <v>143</v>
      </c>
      <c r="G23" s="22" t="s">
        <v>42</v>
      </c>
      <c r="H23" s="24" t="n">
        <v>1.5</v>
      </c>
      <c r="I23" s="22" t="s">
        <v>165</v>
      </c>
      <c r="J23" s="5" t="s">
        <v>144</v>
      </c>
      <c r="K23" s="24" t="s">
        <v>69</v>
      </c>
      <c r="L23" s="25" t="n">
        <v>0</v>
      </c>
      <c r="M23" s="22" t="n">
        <f aca="false">ROUND(H23*L23,2)</f>
        <v>0</v>
      </c>
      <c r="N23" s="22" t="n">
        <f aca="false">H23-M23</f>
        <v>1.5</v>
      </c>
      <c r="O23" s="26"/>
    </row>
    <row r="24" customFormat="false" ht="23.85" hidden="false" customHeight="false" outlineLevel="0" collapsed="false">
      <c r="A24" s="22" t="s">
        <v>166</v>
      </c>
      <c r="B24" s="27" t="s">
        <v>19</v>
      </c>
      <c r="C24" s="5" t="str">
        <f aca="false">INDEX(Summary!$B$5:$B$9,MATCH(B24,Summary!$A$5:$A$9,0))</f>
        <v>Config &amp; Governance Lead</v>
      </c>
      <c r="D24" s="5" t="s">
        <v>167</v>
      </c>
      <c r="E24" s="5" t="s">
        <v>168</v>
      </c>
      <c r="F24" s="5" t="s">
        <v>147</v>
      </c>
      <c r="G24" s="22" t="s">
        <v>40</v>
      </c>
      <c r="H24" s="24" t="n">
        <v>2</v>
      </c>
      <c r="I24" s="22" t="s">
        <v>169</v>
      </c>
      <c r="J24" s="5" t="s">
        <v>154</v>
      </c>
      <c r="K24" s="24" t="s">
        <v>69</v>
      </c>
      <c r="L24" s="25" t="n">
        <v>0</v>
      </c>
      <c r="M24" s="22" t="n">
        <f aca="false">ROUND(H24*L24,2)</f>
        <v>0</v>
      </c>
      <c r="N24" s="22" t="n">
        <f aca="false">H24-M24</f>
        <v>2</v>
      </c>
      <c r="O24" s="26"/>
    </row>
    <row r="25" customFormat="false" ht="23.85" hidden="false" customHeight="false" outlineLevel="0" collapsed="false">
      <c r="A25" s="22" t="s">
        <v>170</v>
      </c>
      <c r="B25" s="27" t="s">
        <v>19</v>
      </c>
      <c r="C25" s="5" t="str">
        <f aca="false">INDEX(Summary!$B$5:$B$9,MATCH(B25,Summary!$A$5:$A$9,0))</f>
        <v>Config &amp; Governance Lead</v>
      </c>
      <c r="D25" s="5" t="s">
        <v>171</v>
      </c>
      <c r="E25" s="5" t="s">
        <v>172</v>
      </c>
      <c r="F25" s="5" t="s">
        <v>45</v>
      </c>
      <c r="G25" s="22" t="s">
        <v>44</v>
      </c>
      <c r="H25" s="24" t="n">
        <v>0</v>
      </c>
      <c r="I25" s="22" t="s">
        <v>173</v>
      </c>
      <c r="J25" s="5" t="s">
        <v>174</v>
      </c>
      <c r="K25" s="24" t="s">
        <v>69</v>
      </c>
      <c r="L25" s="25" t="n">
        <v>0</v>
      </c>
      <c r="M25" s="22" t="n">
        <f aca="false">ROUND(H25*L25,2)</f>
        <v>0</v>
      </c>
      <c r="N25" s="22" t="n">
        <f aca="false">H25-M25</f>
        <v>0</v>
      </c>
      <c r="O25" s="26"/>
    </row>
    <row r="26" customFormat="false" ht="23.85" hidden="false" customHeight="false" outlineLevel="0" collapsed="false">
      <c r="A26" s="22" t="s">
        <v>175</v>
      </c>
      <c r="B26" s="28" t="s">
        <v>22</v>
      </c>
      <c r="C26" s="5" t="str">
        <f aca="false">INDEX(Summary!$B$5:$B$9,MATCH(B26,Summary!$A$5:$A$9,0))</f>
        <v>Backend, Decision &amp; Audit Lead</v>
      </c>
      <c r="D26" s="5" t="s">
        <v>176</v>
      </c>
      <c r="E26" s="5" t="s">
        <v>177</v>
      </c>
      <c r="F26" s="5" t="s">
        <v>178</v>
      </c>
      <c r="G26" s="22" t="s">
        <v>40</v>
      </c>
      <c r="H26" s="24" t="n">
        <v>1.5</v>
      </c>
      <c r="I26" s="22" t="s">
        <v>67</v>
      </c>
      <c r="J26" s="5" t="s">
        <v>68</v>
      </c>
      <c r="K26" s="24" t="s">
        <v>69</v>
      </c>
      <c r="L26" s="25" t="n">
        <v>0</v>
      </c>
      <c r="M26" s="22" t="n">
        <f aca="false">ROUND(H26*L26,2)</f>
        <v>0</v>
      </c>
      <c r="N26" s="22" t="n">
        <f aca="false">H26-M26</f>
        <v>1.5</v>
      </c>
      <c r="O26" s="26"/>
    </row>
    <row r="27" customFormat="false" ht="23.85" hidden="false" customHeight="false" outlineLevel="0" collapsed="false">
      <c r="A27" s="22" t="s">
        <v>179</v>
      </c>
      <c r="B27" s="28" t="s">
        <v>22</v>
      </c>
      <c r="C27" s="5" t="str">
        <f aca="false">INDEX(Summary!$B$5:$B$9,MATCH(B27,Summary!$A$5:$A$9,0))</f>
        <v>Backend, Decision &amp; Audit Lead</v>
      </c>
      <c r="D27" s="5" t="s">
        <v>180</v>
      </c>
      <c r="E27" s="5" t="s">
        <v>181</v>
      </c>
      <c r="F27" s="5" t="s">
        <v>182</v>
      </c>
      <c r="G27" s="22" t="s">
        <v>40</v>
      </c>
      <c r="H27" s="24" t="n">
        <v>1.5</v>
      </c>
      <c r="I27" s="22" t="s">
        <v>183</v>
      </c>
      <c r="J27" s="5" t="s">
        <v>184</v>
      </c>
      <c r="K27" s="24" t="s">
        <v>69</v>
      </c>
      <c r="L27" s="25" t="n">
        <v>0</v>
      </c>
      <c r="M27" s="22" t="n">
        <f aca="false">ROUND(H27*L27,2)</f>
        <v>0</v>
      </c>
      <c r="N27" s="22" t="n">
        <f aca="false">H27-M27</f>
        <v>1.5</v>
      </c>
      <c r="O27" s="26"/>
    </row>
    <row r="28" customFormat="false" ht="23.85" hidden="false" customHeight="false" outlineLevel="0" collapsed="false">
      <c r="A28" s="22" t="s">
        <v>185</v>
      </c>
      <c r="B28" s="28" t="s">
        <v>22</v>
      </c>
      <c r="C28" s="5" t="str">
        <f aca="false">INDEX(Summary!$B$5:$B$9,MATCH(B28,Summary!$A$5:$A$9,0))</f>
        <v>Backend, Decision &amp; Audit Lead</v>
      </c>
      <c r="D28" s="5" t="s">
        <v>186</v>
      </c>
      <c r="E28" s="5" t="s">
        <v>187</v>
      </c>
      <c r="F28" s="5" t="s">
        <v>188</v>
      </c>
      <c r="G28" s="22" t="s">
        <v>40</v>
      </c>
      <c r="H28" s="24" t="n">
        <v>1.5</v>
      </c>
      <c r="I28" s="22" t="s">
        <v>189</v>
      </c>
      <c r="J28" s="5" t="s">
        <v>190</v>
      </c>
      <c r="K28" s="24" t="s">
        <v>69</v>
      </c>
      <c r="L28" s="25" t="n">
        <v>0</v>
      </c>
      <c r="M28" s="22" t="n">
        <f aca="false">ROUND(H28*L28,2)</f>
        <v>0</v>
      </c>
      <c r="N28" s="22" t="n">
        <f aca="false">H28-M28</f>
        <v>1.5</v>
      </c>
      <c r="O28" s="26"/>
    </row>
    <row r="29" customFormat="false" ht="23.85" hidden="false" customHeight="false" outlineLevel="0" collapsed="false">
      <c r="A29" s="22" t="s">
        <v>191</v>
      </c>
      <c r="B29" s="28" t="s">
        <v>22</v>
      </c>
      <c r="C29" s="5" t="str">
        <f aca="false">INDEX(Summary!$B$5:$B$9,MATCH(B29,Summary!$A$5:$A$9,0))</f>
        <v>Backend, Decision &amp; Audit Lead</v>
      </c>
      <c r="D29" s="5" t="s">
        <v>192</v>
      </c>
      <c r="E29" s="5" t="s">
        <v>193</v>
      </c>
      <c r="F29" s="5" t="s">
        <v>139</v>
      </c>
      <c r="G29" s="22" t="s">
        <v>40</v>
      </c>
      <c r="H29" s="24" t="n">
        <v>2</v>
      </c>
      <c r="I29" s="22" t="s">
        <v>112</v>
      </c>
      <c r="J29" s="5" t="s">
        <v>185</v>
      </c>
      <c r="K29" s="24" t="s">
        <v>69</v>
      </c>
      <c r="L29" s="25" t="n">
        <v>0</v>
      </c>
      <c r="M29" s="22" t="n">
        <f aca="false">ROUND(H29*L29,2)</f>
        <v>0</v>
      </c>
      <c r="N29" s="22" t="n">
        <f aca="false">H29-M29</f>
        <v>2</v>
      </c>
      <c r="O29" s="26"/>
    </row>
    <row r="30" customFormat="false" ht="23.85" hidden="false" customHeight="false" outlineLevel="0" collapsed="false">
      <c r="A30" s="22" t="s">
        <v>194</v>
      </c>
      <c r="B30" s="28" t="s">
        <v>22</v>
      </c>
      <c r="C30" s="5" t="str">
        <f aca="false">INDEX(Summary!$B$5:$B$9,MATCH(B30,Summary!$A$5:$A$9,0))</f>
        <v>Backend, Decision &amp; Audit Lead</v>
      </c>
      <c r="D30" s="5" t="s">
        <v>195</v>
      </c>
      <c r="E30" s="5" t="s">
        <v>196</v>
      </c>
      <c r="F30" s="5" t="s">
        <v>197</v>
      </c>
      <c r="G30" s="22" t="s">
        <v>40</v>
      </c>
      <c r="H30" s="24" t="n">
        <v>1.5</v>
      </c>
      <c r="I30" s="22" t="s">
        <v>84</v>
      </c>
      <c r="J30" s="5" t="s">
        <v>191</v>
      </c>
      <c r="K30" s="24" t="s">
        <v>69</v>
      </c>
      <c r="L30" s="25" t="n">
        <v>0</v>
      </c>
      <c r="M30" s="22" t="n">
        <f aca="false">ROUND(H30*L30,2)</f>
        <v>0</v>
      </c>
      <c r="N30" s="22" t="n">
        <f aca="false">H30-M30</f>
        <v>1.5</v>
      </c>
      <c r="O30" s="26"/>
    </row>
    <row r="31" customFormat="false" ht="23.85" hidden="false" customHeight="false" outlineLevel="0" collapsed="false">
      <c r="A31" s="22" t="s">
        <v>198</v>
      </c>
      <c r="B31" s="28" t="s">
        <v>22</v>
      </c>
      <c r="C31" s="5" t="str">
        <f aca="false">INDEX(Summary!$B$5:$B$9,MATCH(B31,Summary!$A$5:$A$9,0))</f>
        <v>Backend, Decision &amp; Audit Lead</v>
      </c>
      <c r="D31" s="5" t="s">
        <v>199</v>
      </c>
      <c r="E31" s="5" t="s">
        <v>200</v>
      </c>
      <c r="F31" s="5" t="s">
        <v>201</v>
      </c>
      <c r="G31" s="22" t="s">
        <v>40</v>
      </c>
      <c r="H31" s="24" t="n">
        <v>2</v>
      </c>
      <c r="I31" s="22" t="s">
        <v>103</v>
      </c>
      <c r="J31" s="5" t="s">
        <v>194</v>
      </c>
      <c r="K31" s="24" t="s">
        <v>69</v>
      </c>
      <c r="L31" s="25" t="n">
        <v>0</v>
      </c>
      <c r="M31" s="22" t="n">
        <f aca="false">ROUND(H31*L31,2)</f>
        <v>0</v>
      </c>
      <c r="N31" s="22" t="n">
        <f aca="false">H31-M31</f>
        <v>2</v>
      </c>
      <c r="O31" s="26"/>
    </row>
    <row r="32" customFormat="false" ht="23.85" hidden="false" customHeight="false" outlineLevel="0" collapsed="false">
      <c r="A32" s="22" t="s">
        <v>202</v>
      </c>
      <c r="B32" s="28" t="s">
        <v>22</v>
      </c>
      <c r="C32" s="5" t="str">
        <f aca="false">INDEX(Summary!$B$5:$B$9,MATCH(B32,Summary!$A$5:$A$9,0))</f>
        <v>Backend, Decision &amp; Audit Lead</v>
      </c>
      <c r="D32" s="5" t="s">
        <v>203</v>
      </c>
      <c r="E32" s="5" t="s">
        <v>204</v>
      </c>
      <c r="F32" s="5" t="s">
        <v>205</v>
      </c>
      <c r="G32" s="22" t="s">
        <v>42</v>
      </c>
      <c r="H32" s="24" t="n">
        <v>1</v>
      </c>
      <c r="I32" s="22" t="s">
        <v>206</v>
      </c>
      <c r="J32" s="5" t="s">
        <v>191</v>
      </c>
      <c r="K32" s="24" t="s">
        <v>69</v>
      </c>
      <c r="L32" s="25" t="n">
        <v>0</v>
      </c>
      <c r="M32" s="22" t="n">
        <f aca="false">ROUND(H32*L32,2)</f>
        <v>0</v>
      </c>
      <c r="N32" s="22" t="n">
        <f aca="false">H32-M32</f>
        <v>1</v>
      </c>
      <c r="O32" s="26"/>
    </row>
    <row r="33" customFormat="false" ht="23.85" hidden="false" customHeight="false" outlineLevel="0" collapsed="false">
      <c r="A33" s="22" t="s">
        <v>207</v>
      </c>
      <c r="B33" s="28" t="s">
        <v>22</v>
      </c>
      <c r="C33" s="5" t="str">
        <f aca="false">INDEX(Summary!$B$5:$B$9,MATCH(B33,Summary!$A$5:$A$9,0))</f>
        <v>Backend, Decision &amp; Audit Lead</v>
      </c>
      <c r="D33" s="5" t="s">
        <v>208</v>
      </c>
      <c r="E33" s="5" t="s">
        <v>209</v>
      </c>
      <c r="F33" s="5" t="s">
        <v>210</v>
      </c>
      <c r="G33" s="22" t="s">
        <v>42</v>
      </c>
      <c r="H33" s="24" t="n">
        <v>2.5</v>
      </c>
      <c r="I33" s="22" t="s">
        <v>165</v>
      </c>
      <c r="J33" s="5" t="s">
        <v>191</v>
      </c>
      <c r="K33" s="24" t="s">
        <v>69</v>
      </c>
      <c r="L33" s="25" t="n">
        <v>0</v>
      </c>
      <c r="M33" s="22" t="n">
        <f aca="false">ROUND(H33*L33,2)</f>
        <v>0</v>
      </c>
      <c r="N33" s="22" t="n">
        <f aca="false">H33-M33</f>
        <v>2.5</v>
      </c>
      <c r="O33" s="26"/>
    </row>
    <row r="34" customFormat="false" ht="23.85" hidden="false" customHeight="false" outlineLevel="0" collapsed="false">
      <c r="A34" s="22" t="s">
        <v>211</v>
      </c>
      <c r="B34" s="28" t="s">
        <v>22</v>
      </c>
      <c r="C34" s="5" t="str">
        <f aca="false">INDEX(Summary!$B$5:$B$9,MATCH(B34,Summary!$A$5:$A$9,0))</f>
        <v>Backend, Decision &amp; Audit Lead</v>
      </c>
      <c r="D34" s="5" t="s">
        <v>212</v>
      </c>
      <c r="E34" s="5" t="s">
        <v>213</v>
      </c>
      <c r="F34" s="5" t="s">
        <v>214</v>
      </c>
      <c r="G34" s="22" t="s">
        <v>42</v>
      </c>
      <c r="H34" s="24" t="n">
        <v>2</v>
      </c>
      <c r="I34" s="22" t="s">
        <v>215</v>
      </c>
      <c r="J34" s="5" t="s">
        <v>207</v>
      </c>
      <c r="K34" s="24" t="s">
        <v>69</v>
      </c>
      <c r="L34" s="25" t="n">
        <v>0</v>
      </c>
      <c r="M34" s="22" t="n">
        <f aca="false">ROUND(H34*L34,2)</f>
        <v>0</v>
      </c>
      <c r="N34" s="22" t="n">
        <f aca="false">H34-M34</f>
        <v>2</v>
      </c>
      <c r="O34" s="26"/>
    </row>
    <row r="35" customFormat="false" ht="23.85" hidden="false" customHeight="false" outlineLevel="0" collapsed="false">
      <c r="A35" s="22" t="s">
        <v>216</v>
      </c>
      <c r="B35" s="28" t="s">
        <v>22</v>
      </c>
      <c r="C35" s="5" t="str">
        <f aca="false">INDEX(Summary!$B$5:$B$9,MATCH(B35,Summary!$A$5:$A$9,0))</f>
        <v>Backend, Decision &amp; Audit Lead</v>
      </c>
      <c r="D35" s="5" t="s">
        <v>217</v>
      </c>
      <c r="E35" s="5" t="s">
        <v>218</v>
      </c>
      <c r="F35" s="5" t="s">
        <v>102</v>
      </c>
      <c r="G35" s="22" t="s">
        <v>44</v>
      </c>
      <c r="H35" s="24" t="n">
        <v>2</v>
      </c>
      <c r="I35" s="22" t="s">
        <v>219</v>
      </c>
      <c r="J35" s="5" t="s">
        <v>194</v>
      </c>
      <c r="K35" s="24" t="s">
        <v>69</v>
      </c>
      <c r="L35" s="25" t="n">
        <v>0</v>
      </c>
      <c r="M35" s="22" t="n">
        <f aca="false">ROUND(H35*L35,2)</f>
        <v>0</v>
      </c>
      <c r="N35" s="22" t="n">
        <f aca="false">H35-M35</f>
        <v>2</v>
      </c>
      <c r="O35" s="26"/>
    </row>
    <row r="36" customFormat="false" ht="23.85" hidden="false" customHeight="false" outlineLevel="0" collapsed="false">
      <c r="A36" s="22" t="s">
        <v>220</v>
      </c>
      <c r="B36" s="28" t="s">
        <v>22</v>
      </c>
      <c r="C36" s="5" t="str">
        <f aca="false">INDEX(Summary!$B$5:$B$9,MATCH(B36,Summary!$A$5:$A$9,0))</f>
        <v>Backend, Decision &amp; Audit Lead</v>
      </c>
      <c r="D36" s="5" t="s">
        <v>221</v>
      </c>
      <c r="E36" s="5" t="s">
        <v>222</v>
      </c>
      <c r="F36" s="5" t="s">
        <v>223</v>
      </c>
      <c r="G36" s="22" t="s">
        <v>40</v>
      </c>
      <c r="H36" s="24" t="n">
        <v>2</v>
      </c>
      <c r="I36" s="22" t="s">
        <v>224</v>
      </c>
      <c r="J36" s="5" t="s">
        <v>198</v>
      </c>
      <c r="K36" s="24" t="s">
        <v>69</v>
      </c>
      <c r="L36" s="25" t="n">
        <v>0</v>
      </c>
      <c r="M36" s="22" t="n">
        <f aca="false">ROUND(H36*L36,2)</f>
        <v>0</v>
      </c>
      <c r="N36" s="22" t="n">
        <f aca="false">H36-M36</f>
        <v>2</v>
      </c>
      <c r="O36" s="26"/>
    </row>
    <row r="37" customFormat="false" ht="23.85" hidden="false" customHeight="false" outlineLevel="0" collapsed="false">
      <c r="A37" s="22" t="s">
        <v>225</v>
      </c>
      <c r="B37" s="28" t="s">
        <v>22</v>
      </c>
      <c r="C37" s="5" t="str">
        <f aca="false">INDEX(Summary!$B$5:$B$9,MATCH(B37,Summary!$A$5:$A$9,0))</f>
        <v>Backend, Decision &amp; Audit Lead</v>
      </c>
      <c r="D37" s="5" t="s">
        <v>226</v>
      </c>
      <c r="E37" s="5" t="s">
        <v>227</v>
      </c>
      <c r="F37" s="5" t="s">
        <v>121</v>
      </c>
      <c r="G37" s="22" t="s">
        <v>40</v>
      </c>
      <c r="H37" s="24" t="n">
        <v>0.5</v>
      </c>
      <c r="I37" s="22" t="s">
        <v>228</v>
      </c>
      <c r="J37" s="5" t="s">
        <v>211</v>
      </c>
      <c r="K37" s="24" t="s">
        <v>69</v>
      </c>
      <c r="L37" s="25" t="n">
        <v>0</v>
      </c>
      <c r="M37" s="22" t="n">
        <f aca="false">ROUND(H37*L37,2)</f>
        <v>0</v>
      </c>
      <c r="N37" s="22" t="n">
        <f aca="false">H37-M37</f>
        <v>0.5</v>
      </c>
      <c r="O37" s="26"/>
    </row>
    <row r="38" customFormat="false" ht="23.85" hidden="false" customHeight="false" outlineLevel="0" collapsed="false">
      <c r="A38" s="22" t="s">
        <v>229</v>
      </c>
      <c r="B38" s="29" t="s">
        <v>25</v>
      </c>
      <c r="C38" s="5" t="str">
        <f aca="false">INDEX(Summary!$B$5:$B$9,MATCH(B38,Summary!$A$5:$A$9,0))</f>
        <v>Frontend / UX Lead</v>
      </c>
      <c r="D38" s="5" t="s">
        <v>230</v>
      </c>
      <c r="E38" s="5" t="s">
        <v>231</v>
      </c>
      <c r="F38" s="5" t="s">
        <v>182</v>
      </c>
      <c r="G38" s="22" t="s">
        <v>40</v>
      </c>
      <c r="H38" s="24" t="n">
        <v>2</v>
      </c>
      <c r="I38" s="22" t="s">
        <v>67</v>
      </c>
      <c r="J38" s="5" t="s">
        <v>68</v>
      </c>
      <c r="K38" s="24" t="s">
        <v>69</v>
      </c>
      <c r="L38" s="25" t="n">
        <v>0</v>
      </c>
      <c r="M38" s="22" t="n">
        <f aca="false">ROUND(H38*L38,2)</f>
        <v>0</v>
      </c>
      <c r="N38" s="22" t="n">
        <f aca="false">H38-M38</f>
        <v>2</v>
      </c>
      <c r="O38" s="26"/>
    </row>
    <row r="39" customFormat="false" ht="23.85" hidden="false" customHeight="false" outlineLevel="0" collapsed="false">
      <c r="A39" s="22" t="s">
        <v>232</v>
      </c>
      <c r="B39" s="29" t="s">
        <v>25</v>
      </c>
      <c r="C39" s="5" t="str">
        <f aca="false">INDEX(Summary!$B$5:$B$9,MATCH(B39,Summary!$A$5:$A$9,0))</f>
        <v>Frontend / UX Lead</v>
      </c>
      <c r="D39" s="5" t="s">
        <v>233</v>
      </c>
      <c r="E39" s="5" t="s">
        <v>234</v>
      </c>
      <c r="F39" s="5" t="s">
        <v>83</v>
      </c>
      <c r="G39" s="22" t="s">
        <v>40</v>
      </c>
      <c r="H39" s="24" t="n">
        <v>1.5</v>
      </c>
      <c r="I39" s="22" t="s">
        <v>131</v>
      </c>
      <c r="J39" s="5" t="s">
        <v>229</v>
      </c>
      <c r="K39" s="24" t="s">
        <v>69</v>
      </c>
      <c r="L39" s="25" t="n">
        <v>0</v>
      </c>
      <c r="M39" s="22" t="n">
        <f aca="false">ROUND(H39*L39,2)</f>
        <v>0</v>
      </c>
      <c r="N39" s="22" t="n">
        <f aca="false">H39-M39</f>
        <v>1.5</v>
      </c>
      <c r="O39" s="26"/>
    </row>
    <row r="40" customFormat="false" ht="23.85" hidden="false" customHeight="false" outlineLevel="0" collapsed="false">
      <c r="A40" s="22" t="s">
        <v>235</v>
      </c>
      <c r="B40" s="29" t="s">
        <v>25</v>
      </c>
      <c r="C40" s="5" t="str">
        <f aca="false">INDEX(Summary!$B$5:$B$9,MATCH(B40,Summary!$A$5:$A$9,0))</f>
        <v>Frontend / UX Lead</v>
      </c>
      <c r="D40" s="5" t="s">
        <v>236</v>
      </c>
      <c r="E40" s="5" t="s">
        <v>237</v>
      </c>
      <c r="F40" s="5" t="s">
        <v>139</v>
      </c>
      <c r="G40" s="22" t="s">
        <v>40</v>
      </c>
      <c r="H40" s="24" t="n">
        <v>1</v>
      </c>
      <c r="I40" s="22" t="s">
        <v>89</v>
      </c>
      <c r="J40" s="5" t="s">
        <v>232</v>
      </c>
      <c r="K40" s="24" t="s">
        <v>69</v>
      </c>
      <c r="L40" s="25" t="n">
        <v>0</v>
      </c>
      <c r="M40" s="22" t="n">
        <f aca="false">ROUND(H40*L40,2)</f>
        <v>0</v>
      </c>
      <c r="N40" s="22" t="n">
        <f aca="false">H40-M40</f>
        <v>1</v>
      </c>
      <c r="O40" s="26"/>
    </row>
    <row r="41" customFormat="false" ht="23.85" hidden="false" customHeight="false" outlineLevel="0" collapsed="false">
      <c r="A41" s="22" t="s">
        <v>238</v>
      </c>
      <c r="B41" s="29" t="s">
        <v>25</v>
      </c>
      <c r="C41" s="5" t="str">
        <f aca="false">INDEX(Summary!$B$5:$B$9,MATCH(B41,Summary!$A$5:$A$9,0))</f>
        <v>Frontend / UX Lead</v>
      </c>
      <c r="D41" s="5" t="s">
        <v>239</v>
      </c>
      <c r="E41" s="5" t="s">
        <v>240</v>
      </c>
      <c r="F41" s="5" t="s">
        <v>241</v>
      </c>
      <c r="G41" s="22" t="s">
        <v>40</v>
      </c>
      <c r="H41" s="24" t="n">
        <v>3</v>
      </c>
      <c r="I41" s="22" t="s">
        <v>112</v>
      </c>
      <c r="J41" s="5" t="s">
        <v>242</v>
      </c>
      <c r="K41" s="24" t="s">
        <v>69</v>
      </c>
      <c r="L41" s="25" t="n">
        <v>0</v>
      </c>
      <c r="M41" s="22" t="n">
        <f aca="false">ROUND(H41*L41,2)</f>
        <v>0</v>
      </c>
      <c r="N41" s="22" t="n">
        <f aca="false">H41-M41</f>
        <v>3</v>
      </c>
      <c r="O41" s="26"/>
    </row>
    <row r="42" customFormat="false" ht="15" hidden="false" customHeight="false" outlineLevel="0" collapsed="false">
      <c r="A42" s="22" t="s">
        <v>243</v>
      </c>
      <c r="B42" s="29" t="s">
        <v>25</v>
      </c>
      <c r="C42" s="5" t="str">
        <f aca="false">INDEX(Summary!$B$5:$B$9,MATCH(B42,Summary!$A$5:$A$9,0))</f>
        <v>Frontend / UX Lead</v>
      </c>
      <c r="D42" s="5" t="s">
        <v>244</v>
      </c>
      <c r="E42" s="5" t="s">
        <v>245</v>
      </c>
      <c r="F42" s="5" t="s">
        <v>116</v>
      </c>
      <c r="G42" s="22" t="s">
        <v>42</v>
      </c>
      <c r="H42" s="24" t="n">
        <v>2</v>
      </c>
      <c r="I42" s="22" t="s">
        <v>117</v>
      </c>
      <c r="J42" s="5" t="s">
        <v>246</v>
      </c>
      <c r="K42" s="24" t="s">
        <v>69</v>
      </c>
      <c r="L42" s="25" t="n">
        <v>0</v>
      </c>
      <c r="M42" s="22" t="n">
        <f aca="false">ROUND(H42*L42,2)</f>
        <v>0</v>
      </c>
      <c r="N42" s="22" t="n">
        <f aca="false">H42-M42</f>
        <v>2</v>
      </c>
      <c r="O42" s="26"/>
    </row>
    <row r="43" customFormat="false" ht="15" hidden="false" customHeight="false" outlineLevel="0" collapsed="false">
      <c r="A43" s="22" t="s">
        <v>247</v>
      </c>
      <c r="B43" s="29" t="s">
        <v>25</v>
      </c>
      <c r="C43" s="5" t="str">
        <f aca="false">INDEX(Summary!$B$5:$B$9,MATCH(B43,Summary!$A$5:$A$9,0))</f>
        <v>Frontend / UX Lead</v>
      </c>
      <c r="D43" s="5" t="s">
        <v>248</v>
      </c>
      <c r="E43" s="5" t="s">
        <v>249</v>
      </c>
      <c r="F43" s="5" t="s">
        <v>102</v>
      </c>
      <c r="G43" s="22" t="s">
        <v>40</v>
      </c>
      <c r="H43" s="24" t="n">
        <v>1.5</v>
      </c>
      <c r="I43" s="22" t="s">
        <v>84</v>
      </c>
      <c r="J43" s="5" t="s">
        <v>94</v>
      </c>
      <c r="K43" s="24" t="s">
        <v>69</v>
      </c>
      <c r="L43" s="25" t="n">
        <v>0</v>
      </c>
      <c r="M43" s="22" t="n">
        <f aca="false">ROUND(H43*L43,2)</f>
        <v>0</v>
      </c>
      <c r="N43" s="22" t="n">
        <f aca="false">H43-M43</f>
        <v>1.5</v>
      </c>
      <c r="O43" s="26"/>
    </row>
    <row r="44" customFormat="false" ht="23.85" hidden="false" customHeight="false" outlineLevel="0" collapsed="false">
      <c r="A44" s="22" t="s">
        <v>250</v>
      </c>
      <c r="B44" s="29" t="s">
        <v>25</v>
      </c>
      <c r="C44" s="5" t="str">
        <f aca="false">INDEX(Summary!$B$5:$B$9,MATCH(B44,Summary!$A$5:$A$9,0))</f>
        <v>Frontend / UX Lead</v>
      </c>
      <c r="D44" s="5" t="s">
        <v>251</v>
      </c>
      <c r="E44" s="5" t="s">
        <v>252</v>
      </c>
      <c r="F44" s="5" t="s">
        <v>223</v>
      </c>
      <c r="G44" s="22" t="s">
        <v>40</v>
      </c>
      <c r="H44" s="24" t="n">
        <v>2.5</v>
      </c>
      <c r="I44" s="22" t="s">
        <v>103</v>
      </c>
      <c r="J44" s="5" t="s">
        <v>253</v>
      </c>
      <c r="K44" s="24" t="s">
        <v>69</v>
      </c>
      <c r="L44" s="25" t="n">
        <v>0</v>
      </c>
      <c r="M44" s="22" t="n">
        <f aca="false">ROUND(H44*L44,2)</f>
        <v>0</v>
      </c>
      <c r="N44" s="22" t="n">
        <f aca="false">H44-M44</f>
        <v>2.5</v>
      </c>
      <c r="O44" s="26"/>
    </row>
    <row r="45" customFormat="false" ht="23.85" hidden="false" customHeight="false" outlineLevel="0" collapsed="false">
      <c r="A45" s="22" t="s">
        <v>254</v>
      </c>
      <c r="B45" s="29" t="s">
        <v>25</v>
      </c>
      <c r="C45" s="5" t="str">
        <f aca="false">INDEX(Summary!$B$5:$B$9,MATCH(B45,Summary!$A$5:$A$9,0))</f>
        <v>Frontend / UX Lead</v>
      </c>
      <c r="D45" s="5" t="s">
        <v>255</v>
      </c>
      <c r="E45" s="5" t="s">
        <v>256</v>
      </c>
      <c r="F45" s="5" t="s">
        <v>205</v>
      </c>
      <c r="G45" s="22" t="s">
        <v>42</v>
      </c>
      <c r="H45" s="24" t="n">
        <v>1.5</v>
      </c>
      <c r="I45" s="22" t="s">
        <v>257</v>
      </c>
      <c r="J45" s="5" t="s">
        <v>202</v>
      </c>
      <c r="K45" s="24" t="s">
        <v>69</v>
      </c>
      <c r="L45" s="25" t="n">
        <v>0</v>
      </c>
      <c r="M45" s="22" t="n">
        <f aca="false">ROUND(H45*L45,2)</f>
        <v>0</v>
      </c>
      <c r="N45" s="22" t="n">
        <f aca="false">H45-M45</f>
        <v>1.5</v>
      </c>
      <c r="O45" s="26"/>
    </row>
    <row r="46" customFormat="false" ht="15" hidden="false" customHeight="false" outlineLevel="0" collapsed="false">
      <c r="A46" s="22" t="s">
        <v>258</v>
      </c>
      <c r="B46" s="29" t="s">
        <v>25</v>
      </c>
      <c r="C46" s="5" t="str">
        <f aca="false">INDEX(Summary!$B$5:$B$9,MATCH(B46,Summary!$A$5:$A$9,0))</f>
        <v>Frontend / UX Lead</v>
      </c>
      <c r="D46" s="5" t="s">
        <v>259</v>
      </c>
      <c r="E46" s="5" t="s">
        <v>260</v>
      </c>
      <c r="F46" s="5" t="s">
        <v>214</v>
      </c>
      <c r="G46" s="22" t="s">
        <v>42</v>
      </c>
      <c r="H46" s="24" t="n">
        <v>1.5</v>
      </c>
      <c r="I46" s="22" t="s">
        <v>215</v>
      </c>
      <c r="J46" s="5" t="s">
        <v>261</v>
      </c>
      <c r="K46" s="24" t="s">
        <v>69</v>
      </c>
      <c r="L46" s="25" t="n">
        <v>0</v>
      </c>
      <c r="M46" s="22" t="n">
        <f aca="false">ROUND(H46*L46,2)</f>
        <v>0</v>
      </c>
      <c r="N46" s="22" t="n">
        <f aca="false">H46-M46</f>
        <v>1.5</v>
      </c>
      <c r="O46" s="26"/>
    </row>
    <row r="47" customFormat="false" ht="15" hidden="false" customHeight="false" outlineLevel="0" collapsed="false">
      <c r="A47" s="22" t="s">
        <v>262</v>
      </c>
      <c r="B47" s="29" t="s">
        <v>25</v>
      </c>
      <c r="C47" s="5" t="str">
        <f aca="false">INDEX(Summary!$B$5:$B$9,MATCH(B47,Summary!$A$5:$A$9,0))</f>
        <v>Frontend / UX Lead</v>
      </c>
      <c r="D47" s="5" t="s">
        <v>263</v>
      </c>
      <c r="E47" s="5" t="s">
        <v>264</v>
      </c>
      <c r="F47" s="5" t="s">
        <v>102</v>
      </c>
      <c r="G47" s="22" t="s">
        <v>44</v>
      </c>
      <c r="H47" s="24" t="n">
        <v>1</v>
      </c>
      <c r="I47" s="22" t="s">
        <v>228</v>
      </c>
      <c r="J47" s="5" t="s">
        <v>216</v>
      </c>
      <c r="K47" s="24" t="s">
        <v>69</v>
      </c>
      <c r="L47" s="25" t="n">
        <v>0</v>
      </c>
      <c r="M47" s="22" t="n">
        <f aca="false">ROUND(H47*L47,2)</f>
        <v>0</v>
      </c>
      <c r="N47" s="22" t="n">
        <f aca="false">H47-M47</f>
        <v>1</v>
      </c>
      <c r="O47" s="26"/>
    </row>
    <row r="48" customFormat="false" ht="23.85" hidden="false" customHeight="false" outlineLevel="0" collapsed="false">
      <c r="A48" s="22" t="s">
        <v>265</v>
      </c>
      <c r="B48" s="29" t="s">
        <v>25</v>
      </c>
      <c r="C48" s="5" t="str">
        <f aca="false">INDEX(Summary!$B$5:$B$9,MATCH(B48,Summary!$A$5:$A$9,0))</f>
        <v>Frontend / UX Lead</v>
      </c>
      <c r="D48" s="5" t="s">
        <v>266</v>
      </c>
      <c r="E48" s="5" t="s">
        <v>267</v>
      </c>
      <c r="F48" s="5" t="s">
        <v>130</v>
      </c>
      <c r="G48" s="22" t="s">
        <v>40</v>
      </c>
      <c r="H48" s="24" t="n">
        <v>1.5</v>
      </c>
      <c r="I48" s="22" t="s">
        <v>268</v>
      </c>
      <c r="J48" s="5" t="s">
        <v>250</v>
      </c>
      <c r="K48" s="24" t="s">
        <v>69</v>
      </c>
      <c r="L48" s="25" t="n">
        <v>0</v>
      </c>
      <c r="M48" s="22" t="n">
        <f aca="false">ROUND(H48*L48,2)</f>
        <v>0</v>
      </c>
      <c r="N48" s="22" t="n">
        <f aca="false">H48-M48</f>
        <v>1.5</v>
      </c>
      <c r="O48" s="26"/>
    </row>
    <row r="49" customFormat="false" ht="15" hidden="false" customHeight="false" outlineLevel="0" collapsed="false">
      <c r="A49" s="22" t="s">
        <v>269</v>
      </c>
      <c r="B49" s="29" t="s">
        <v>25</v>
      </c>
      <c r="C49" s="5" t="str">
        <f aca="false">INDEX(Summary!$B$5:$B$9,MATCH(B49,Summary!$A$5:$A$9,0))</f>
        <v>Frontend / UX Lead</v>
      </c>
      <c r="D49" s="5" t="s">
        <v>270</v>
      </c>
      <c r="E49" s="5" t="s">
        <v>271</v>
      </c>
      <c r="F49" s="5" t="s">
        <v>272</v>
      </c>
      <c r="G49" s="22" t="s">
        <v>42</v>
      </c>
      <c r="H49" s="24" t="n">
        <v>1</v>
      </c>
      <c r="I49" s="22" t="s">
        <v>273</v>
      </c>
      <c r="J49" s="5" t="s">
        <v>274</v>
      </c>
      <c r="K49" s="24" t="s">
        <v>69</v>
      </c>
      <c r="L49" s="25" t="n">
        <v>0</v>
      </c>
      <c r="M49" s="22" t="n">
        <f aca="false">ROUND(H49*L49,2)</f>
        <v>0</v>
      </c>
      <c r="N49" s="22" t="n">
        <f aca="false">H49-M49</f>
        <v>1</v>
      </c>
      <c r="O49" s="26"/>
    </row>
    <row r="50" customFormat="false" ht="23.85" hidden="false" customHeight="false" outlineLevel="0" collapsed="false">
      <c r="A50" s="22" t="s">
        <v>275</v>
      </c>
      <c r="B50" s="30" t="s">
        <v>28</v>
      </c>
      <c r="C50" s="5" t="str">
        <f aca="false">INDEX(Summary!$B$5:$B$9,MATCH(B50,Summary!$A$5:$A$9,0))</f>
        <v>Data, QA &amp; Pitch Lead</v>
      </c>
      <c r="D50" s="5" t="s">
        <v>276</v>
      </c>
      <c r="E50" s="5" t="s">
        <v>277</v>
      </c>
      <c r="F50" s="5" t="s">
        <v>278</v>
      </c>
      <c r="G50" s="22" t="s">
        <v>40</v>
      </c>
      <c r="H50" s="24" t="n">
        <v>1.5</v>
      </c>
      <c r="I50" s="22" t="s">
        <v>279</v>
      </c>
      <c r="J50" s="5" t="s">
        <v>68</v>
      </c>
      <c r="K50" s="24" t="s">
        <v>69</v>
      </c>
      <c r="L50" s="25" t="n">
        <v>0</v>
      </c>
      <c r="M50" s="22" t="n">
        <f aca="false">ROUND(H50*L50,2)</f>
        <v>0</v>
      </c>
      <c r="N50" s="22" t="n">
        <f aca="false">H50-M50</f>
        <v>1.5</v>
      </c>
      <c r="O50" s="26"/>
    </row>
    <row r="51" customFormat="false" ht="23.85" hidden="false" customHeight="false" outlineLevel="0" collapsed="false">
      <c r="A51" s="22" t="s">
        <v>280</v>
      </c>
      <c r="B51" s="30" t="s">
        <v>28</v>
      </c>
      <c r="C51" s="5" t="str">
        <f aca="false">INDEX(Summary!$B$5:$B$9,MATCH(B51,Summary!$A$5:$A$9,0))</f>
        <v>Data, QA &amp; Pitch Lead</v>
      </c>
      <c r="D51" s="5" t="s">
        <v>281</v>
      </c>
      <c r="E51" s="5" t="s">
        <v>282</v>
      </c>
      <c r="F51" s="5" t="s">
        <v>283</v>
      </c>
      <c r="G51" s="22" t="s">
        <v>40</v>
      </c>
      <c r="H51" s="24" t="n">
        <v>2.5</v>
      </c>
      <c r="I51" s="22" t="s">
        <v>284</v>
      </c>
      <c r="J51" s="5" t="s">
        <v>68</v>
      </c>
      <c r="K51" s="24" t="s">
        <v>69</v>
      </c>
      <c r="L51" s="25" t="n">
        <v>0</v>
      </c>
      <c r="M51" s="22" t="n">
        <f aca="false">ROUND(H51*L51,2)</f>
        <v>0</v>
      </c>
      <c r="N51" s="22" t="n">
        <f aca="false">H51-M51</f>
        <v>2.5</v>
      </c>
      <c r="O51" s="26"/>
    </row>
    <row r="52" customFormat="false" ht="23.85" hidden="false" customHeight="false" outlineLevel="0" collapsed="false">
      <c r="A52" s="22" t="s">
        <v>285</v>
      </c>
      <c r="B52" s="30" t="s">
        <v>28</v>
      </c>
      <c r="C52" s="5" t="str">
        <f aca="false">INDEX(Summary!$B$5:$B$9,MATCH(B52,Summary!$A$5:$A$9,0))</f>
        <v>Data, QA &amp; Pitch Lead</v>
      </c>
      <c r="D52" s="5" t="s">
        <v>286</v>
      </c>
      <c r="E52" s="5" t="s">
        <v>287</v>
      </c>
      <c r="F52" s="5" t="s">
        <v>288</v>
      </c>
      <c r="G52" s="22" t="s">
        <v>42</v>
      </c>
      <c r="H52" s="24" t="n">
        <v>1</v>
      </c>
      <c r="I52" s="22" t="s">
        <v>117</v>
      </c>
      <c r="J52" s="5" t="s">
        <v>280</v>
      </c>
      <c r="K52" s="24" t="s">
        <v>69</v>
      </c>
      <c r="L52" s="25" t="n">
        <v>0</v>
      </c>
      <c r="M52" s="22" t="n">
        <f aca="false">ROUND(H52*L52,2)</f>
        <v>0</v>
      </c>
      <c r="N52" s="22" t="n">
        <f aca="false">H52-M52</f>
        <v>1</v>
      </c>
      <c r="O52" s="26"/>
    </row>
    <row r="53" customFormat="false" ht="23.85" hidden="false" customHeight="false" outlineLevel="0" collapsed="false">
      <c r="A53" s="22" t="s">
        <v>289</v>
      </c>
      <c r="B53" s="30" t="s">
        <v>28</v>
      </c>
      <c r="C53" s="5" t="str">
        <f aca="false">INDEX(Summary!$B$5:$B$9,MATCH(B53,Summary!$A$5:$A$9,0))</f>
        <v>Data, QA &amp; Pitch Lead</v>
      </c>
      <c r="D53" s="5" t="s">
        <v>290</v>
      </c>
      <c r="E53" s="5" t="s">
        <v>291</v>
      </c>
      <c r="F53" s="5" t="s">
        <v>147</v>
      </c>
      <c r="G53" s="22" t="s">
        <v>40</v>
      </c>
      <c r="H53" s="24" t="n">
        <v>1</v>
      </c>
      <c r="I53" s="22" t="s">
        <v>112</v>
      </c>
      <c r="J53" s="5" t="s">
        <v>123</v>
      </c>
      <c r="K53" s="24" t="s">
        <v>69</v>
      </c>
      <c r="L53" s="25" t="n">
        <v>0</v>
      </c>
      <c r="M53" s="22" t="n">
        <f aca="false">ROUND(H53*L53,2)</f>
        <v>0</v>
      </c>
      <c r="N53" s="22" t="n">
        <f aca="false">H53-M53</f>
        <v>1</v>
      </c>
      <c r="O53" s="26"/>
    </row>
    <row r="54" customFormat="false" ht="23.85" hidden="false" customHeight="false" outlineLevel="0" collapsed="false">
      <c r="A54" s="22" t="s">
        <v>292</v>
      </c>
      <c r="B54" s="30" t="s">
        <v>28</v>
      </c>
      <c r="C54" s="5" t="str">
        <f aca="false">INDEX(Summary!$B$5:$B$9,MATCH(B54,Summary!$A$5:$A$9,0))</f>
        <v>Data, QA &amp; Pitch Lead</v>
      </c>
      <c r="D54" s="5" t="s">
        <v>293</v>
      </c>
      <c r="E54" s="5" t="s">
        <v>294</v>
      </c>
      <c r="F54" s="5" t="s">
        <v>78</v>
      </c>
      <c r="G54" s="22" t="s">
        <v>40</v>
      </c>
      <c r="H54" s="24" t="n">
        <v>2</v>
      </c>
      <c r="I54" s="22" t="s">
        <v>112</v>
      </c>
      <c r="J54" s="5" t="s">
        <v>295</v>
      </c>
      <c r="K54" s="24" t="s">
        <v>69</v>
      </c>
      <c r="L54" s="25" t="n">
        <v>0</v>
      </c>
      <c r="M54" s="22" t="n">
        <f aca="false">ROUND(H54*L54,2)</f>
        <v>0</v>
      </c>
      <c r="N54" s="22" t="n">
        <f aca="false">H54-M54</f>
        <v>2</v>
      </c>
      <c r="O54" s="26"/>
    </row>
    <row r="55" customFormat="false" ht="23.85" hidden="false" customHeight="false" outlineLevel="0" collapsed="false">
      <c r="A55" s="22" t="s">
        <v>296</v>
      </c>
      <c r="B55" s="30" t="s">
        <v>28</v>
      </c>
      <c r="C55" s="5" t="str">
        <f aca="false">INDEX(Summary!$B$5:$B$9,MATCH(B55,Summary!$A$5:$A$9,0))</f>
        <v>Data, QA &amp; Pitch Lead</v>
      </c>
      <c r="D55" s="5" t="s">
        <v>297</v>
      </c>
      <c r="E55" s="5" t="s">
        <v>298</v>
      </c>
      <c r="F55" s="5" t="s">
        <v>130</v>
      </c>
      <c r="G55" s="22" t="s">
        <v>40</v>
      </c>
      <c r="H55" s="24" t="n">
        <v>1.5</v>
      </c>
      <c r="I55" s="22" t="s">
        <v>224</v>
      </c>
      <c r="J55" s="5" t="s">
        <v>299</v>
      </c>
      <c r="K55" s="24" t="s">
        <v>69</v>
      </c>
      <c r="L55" s="25" t="n">
        <v>0</v>
      </c>
      <c r="M55" s="22" t="n">
        <f aca="false">ROUND(H55*L55,2)</f>
        <v>0</v>
      </c>
      <c r="N55" s="22" t="n">
        <f aca="false">H55-M55</f>
        <v>1.5</v>
      </c>
      <c r="O55" s="26"/>
    </row>
    <row r="56" customFormat="false" ht="23.85" hidden="false" customHeight="false" outlineLevel="0" collapsed="false">
      <c r="A56" s="22" t="s">
        <v>300</v>
      </c>
      <c r="B56" s="30" t="s">
        <v>28</v>
      </c>
      <c r="C56" s="5" t="str">
        <f aca="false">INDEX(Summary!$B$5:$B$9,MATCH(B56,Summary!$A$5:$A$9,0))</f>
        <v>Data, QA &amp; Pitch Lead</v>
      </c>
      <c r="D56" s="5" t="s">
        <v>301</v>
      </c>
      <c r="E56" s="5" t="s">
        <v>302</v>
      </c>
      <c r="F56" s="5" t="s">
        <v>182</v>
      </c>
      <c r="G56" s="22" t="s">
        <v>40</v>
      </c>
      <c r="H56" s="24" t="n">
        <v>1</v>
      </c>
      <c r="I56" s="22" t="s">
        <v>84</v>
      </c>
      <c r="J56" s="5" t="s">
        <v>280</v>
      </c>
      <c r="K56" s="24" t="s">
        <v>69</v>
      </c>
      <c r="L56" s="25" t="n">
        <v>0</v>
      </c>
      <c r="M56" s="22" t="n">
        <f aca="false">ROUND(H56*L56,2)</f>
        <v>0</v>
      </c>
      <c r="N56" s="22" t="n">
        <f aca="false">H56-M56</f>
        <v>1</v>
      </c>
      <c r="O56" s="26"/>
    </row>
    <row r="57" customFormat="false" ht="23.85" hidden="false" customHeight="false" outlineLevel="0" collapsed="false">
      <c r="A57" s="22" t="s">
        <v>303</v>
      </c>
      <c r="B57" s="30" t="s">
        <v>28</v>
      </c>
      <c r="C57" s="5" t="str">
        <f aca="false">INDEX(Summary!$B$5:$B$9,MATCH(B57,Summary!$A$5:$A$9,0))</f>
        <v>Data, QA &amp; Pitch Lead</v>
      </c>
      <c r="D57" s="5" t="s">
        <v>304</v>
      </c>
      <c r="E57" s="5" t="s">
        <v>305</v>
      </c>
      <c r="F57" s="5" t="s">
        <v>121</v>
      </c>
      <c r="G57" s="22" t="s">
        <v>40</v>
      </c>
      <c r="H57" s="24" t="n">
        <v>2</v>
      </c>
      <c r="I57" s="22" t="s">
        <v>306</v>
      </c>
      <c r="J57" s="5" t="s">
        <v>118</v>
      </c>
      <c r="K57" s="24" t="s">
        <v>69</v>
      </c>
      <c r="L57" s="25" t="n">
        <v>0</v>
      </c>
      <c r="M57" s="22" t="n">
        <f aca="false">ROUND(H57*L57,2)</f>
        <v>0</v>
      </c>
      <c r="N57" s="22" t="n">
        <f aca="false">H57-M57</f>
        <v>2</v>
      </c>
      <c r="O57" s="26"/>
    </row>
    <row r="58" customFormat="false" ht="23.85" hidden="false" customHeight="false" outlineLevel="0" collapsed="false">
      <c r="A58" s="22" t="s">
        <v>307</v>
      </c>
      <c r="B58" s="30" t="s">
        <v>28</v>
      </c>
      <c r="C58" s="5" t="str">
        <f aca="false">INDEX(Summary!$B$5:$B$9,MATCH(B58,Summary!$A$5:$A$9,0))</f>
        <v>Data, QA &amp; Pitch Lead</v>
      </c>
      <c r="D58" s="5" t="s">
        <v>308</v>
      </c>
      <c r="E58" s="5" t="s">
        <v>309</v>
      </c>
      <c r="F58" s="5" t="s">
        <v>121</v>
      </c>
      <c r="G58" s="22" t="s">
        <v>40</v>
      </c>
      <c r="H58" s="24" t="n">
        <v>3</v>
      </c>
      <c r="I58" s="22" t="s">
        <v>310</v>
      </c>
      <c r="J58" s="5" t="s">
        <v>275</v>
      </c>
      <c r="K58" s="24" t="s">
        <v>69</v>
      </c>
      <c r="L58" s="25" t="n">
        <v>0</v>
      </c>
      <c r="M58" s="22" t="n">
        <f aca="false">ROUND(H58*L58,2)</f>
        <v>0</v>
      </c>
      <c r="N58" s="22" t="n">
        <f aca="false">H58-M58</f>
        <v>3</v>
      </c>
      <c r="O58" s="26"/>
    </row>
    <row r="59" customFormat="false" ht="15" hidden="false" customHeight="false" outlineLevel="0" collapsed="false">
      <c r="A59" s="22" t="s">
        <v>311</v>
      </c>
      <c r="B59" s="30" t="s">
        <v>28</v>
      </c>
      <c r="C59" s="5" t="str">
        <f aca="false">INDEX(Summary!$B$5:$B$9,MATCH(B59,Summary!$A$5:$A$9,0))</f>
        <v>Data, QA &amp; Pitch Lead</v>
      </c>
      <c r="D59" s="5" t="s">
        <v>312</v>
      </c>
      <c r="E59" s="5" t="s">
        <v>313</v>
      </c>
      <c r="F59" s="5" t="s">
        <v>121</v>
      </c>
      <c r="G59" s="22" t="s">
        <v>40</v>
      </c>
      <c r="H59" s="24" t="n">
        <v>1.5</v>
      </c>
      <c r="I59" s="22" t="s">
        <v>169</v>
      </c>
      <c r="J59" s="5" t="s">
        <v>289</v>
      </c>
      <c r="K59" s="24" t="s">
        <v>69</v>
      </c>
      <c r="L59" s="25" t="n">
        <v>0</v>
      </c>
      <c r="M59" s="22" t="n">
        <f aca="false">ROUND(H59*L59,2)</f>
        <v>0</v>
      </c>
      <c r="N59" s="22" t="n">
        <f aca="false">H59-M59</f>
        <v>1.5</v>
      </c>
      <c r="O59" s="26"/>
    </row>
    <row r="60" customFormat="false" ht="15" hidden="false" customHeight="false" outlineLevel="0" collapsed="false">
      <c r="A60" s="22" t="s">
        <v>314</v>
      </c>
      <c r="B60" s="30" t="s">
        <v>28</v>
      </c>
      <c r="C60" s="5" t="str">
        <f aca="false">INDEX(Summary!$B$5:$B$9,MATCH(B60,Summary!$A$5:$A$9,0))</f>
        <v>Data, QA &amp; Pitch Lead</v>
      </c>
      <c r="D60" s="5" t="s">
        <v>315</v>
      </c>
      <c r="E60" s="5" t="s">
        <v>316</v>
      </c>
      <c r="F60" s="5" t="s">
        <v>317</v>
      </c>
      <c r="G60" s="22" t="s">
        <v>40</v>
      </c>
      <c r="H60" s="24" t="n">
        <v>1</v>
      </c>
      <c r="I60" s="22" t="s">
        <v>318</v>
      </c>
      <c r="J60" s="5" t="s">
        <v>311</v>
      </c>
      <c r="K60" s="24" t="s">
        <v>69</v>
      </c>
      <c r="L60" s="25" t="n">
        <v>0</v>
      </c>
      <c r="M60" s="22" t="n">
        <f aca="false">ROUND(H60*L60,2)</f>
        <v>0</v>
      </c>
      <c r="N60" s="22" t="n">
        <f aca="false">H60-M60</f>
        <v>1</v>
      </c>
      <c r="O60" s="26"/>
    </row>
    <row r="61" customFormat="false" ht="23.85" hidden="false" customHeight="false" outlineLevel="0" collapsed="false">
      <c r="A61" s="22" t="s">
        <v>319</v>
      </c>
      <c r="B61" s="30" t="s">
        <v>28</v>
      </c>
      <c r="C61" s="5" t="str">
        <f aca="false">INDEX(Summary!$B$5:$B$9,MATCH(B61,Summary!$A$5:$A$9,0))</f>
        <v>Data, QA &amp; Pitch Lead</v>
      </c>
      <c r="D61" s="5" t="s">
        <v>320</v>
      </c>
      <c r="E61" s="5" t="s">
        <v>321</v>
      </c>
      <c r="F61" s="5" t="s">
        <v>178</v>
      </c>
      <c r="G61" s="22" t="s">
        <v>40</v>
      </c>
      <c r="H61" s="24" t="n">
        <v>1.5</v>
      </c>
      <c r="I61" s="22" t="s">
        <v>322</v>
      </c>
      <c r="J61" s="5" t="s">
        <v>314</v>
      </c>
      <c r="K61" s="24" t="s">
        <v>69</v>
      </c>
      <c r="L61" s="25" t="n">
        <v>0</v>
      </c>
      <c r="M61" s="22" t="n">
        <f aca="false">ROUND(H61*L61,2)</f>
        <v>0</v>
      </c>
      <c r="N61" s="22" t="n">
        <f aca="false">H61-M61</f>
        <v>1.5</v>
      </c>
      <c r="O61" s="26"/>
    </row>
    <row r="63" customFormat="false" ht="15" hidden="false" customHeight="false" outlineLevel="0" collapsed="false">
      <c r="A63" s="17" t="s">
        <v>323</v>
      </c>
    </row>
    <row r="64" customFormat="false" ht="15" hidden="false" customHeight="false" outlineLevel="0" collapsed="false">
      <c r="A64" s="18" t="s">
        <v>324</v>
      </c>
    </row>
    <row r="65" customFormat="false" ht="15" hidden="false" customHeight="false" outlineLevel="0" collapsed="false">
      <c r="A65" s="18" t="s">
        <v>325</v>
      </c>
    </row>
    <row r="66" customFormat="false" ht="15" hidden="false" customHeight="false" outlineLevel="0" collapsed="false">
      <c r="A66" s="18" t="s">
        <v>326</v>
      </c>
    </row>
  </sheetData>
  <autoFilter ref="A1:O61"/>
  <conditionalFormatting sqref="K2:K61">
    <cfRule type="cellIs" priority="2" operator="equal" aboveAverage="0" equalAverage="0" bottom="0" percent="0" rank="0" text="" dxfId="10">
      <formula>"Done"</formula>
    </cfRule>
    <cfRule type="cellIs" priority="3" operator="equal" aboveAverage="0" equalAverage="0" bottom="0" percent="0" rank="0" text="" dxfId="11">
      <formula>"In Progress"</formula>
    </cfRule>
    <cfRule type="cellIs" priority="4" operator="equal" aboveAverage="0" equalAverage="0" bottom="0" percent="0" rank="0" text="" dxfId="12">
      <formula>"Blocked"</formula>
    </cfRule>
    <cfRule type="cellIs" priority="5" operator="equal" aboveAverage="0" equalAverage="0" bottom="0" percent="0" rank="0" text="" dxfId="13">
      <formula>"Cut"</formula>
    </cfRule>
  </conditionalFormatting>
  <conditionalFormatting sqref="G2:G61">
    <cfRule type="cellIs" priority="6" operator="equal" aboveAverage="0" equalAverage="0" bottom="0" percent="0" rank="0" text="" dxfId="14">
      <formula>"M"</formula>
    </cfRule>
  </conditionalFormatting>
  <dataValidations count="3">
    <dataValidation allowBlank="false" errorStyle="stop" operator="between" showDropDown="false" showErrorMessage="false" showInputMessage="false" sqref="K2:K61" type="list">
      <formula1>"Not Started,In Progress,Blocked,Done,Cut"</formula1>
      <formula2>0</formula2>
    </dataValidation>
    <dataValidation allowBlank="false" errorStyle="stop" operator="between" showDropDown="false" showErrorMessage="false" showInputMessage="false" sqref="L2:L61" type="decimal">
      <formula1>0</formula1>
      <formula2>1</formula2>
    </dataValidation>
    <dataValidation allowBlank="false" errorStyle="stop" operator="between" showDropDown="false" showErrorMessage="false" showInputMessage="false" sqref="G2:G61" type="list">
      <formula1>"M,N,S"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5" min="3" style="0" width="14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31" t="s">
        <v>327</v>
      </c>
    </row>
    <row r="3" customFormat="false" ht="15" hidden="false" customHeight="false" outlineLevel="0" collapsed="false">
      <c r="A3" s="2" t="s">
        <v>328</v>
      </c>
    </row>
    <row r="4" customFormat="false" ht="15" hidden="false" customHeight="false" outlineLevel="0" collapsed="false">
      <c r="A4" s="3" t="s">
        <v>50</v>
      </c>
      <c r="B4" s="3" t="s">
        <v>329</v>
      </c>
      <c r="C4" s="3" t="s">
        <v>330</v>
      </c>
      <c r="D4" s="3" t="s">
        <v>331</v>
      </c>
      <c r="E4" s="3" t="s">
        <v>59</v>
      </c>
      <c r="F4" s="3" t="s">
        <v>332</v>
      </c>
    </row>
    <row r="5" customFormat="false" ht="15" hidden="false" customHeight="false" outlineLevel="0" collapsed="false">
      <c r="A5" s="5" t="s">
        <v>333</v>
      </c>
      <c r="B5" s="5" t="s">
        <v>334</v>
      </c>
      <c r="C5" s="5" t="s">
        <v>335</v>
      </c>
      <c r="D5" s="26" t="n">
        <v>1.5</v>
      </c>
      <c r="E5" s="26" t="s">
        <v>69</v>
      </c>
      <c r="F5" s="26"/>
    </row>
    <row r="6" customFormat="false" ht="15" hidden="false" customHeight="false" outlineLevel="0" collapsed="false">
      <c r="A6" s="5" t="s">
        <v>336</v>
      </c>
      <c r="B6" s="5" t="s">
        <v>337</v>
      </c>
      <c r="C6" s="5" t="s">
        <v>338</v>
      </c>
      <c r="D6" s="26" t="n">
        <v>1</v>
      </c>
      <c r="E6" s="26" t="s">
        <v>69</v>
      </c>
      <c r="F6" s="26"/>
    </row>
    <row r="7" customFormat="false" ht="15" hidden="false" customHeight="false" outlineLevel="0" collapsed="false">
      <c r="A7" s="5" t="s">
        <v>339</v>
      </c>
      <c r="B7" s="5" t="s">
        <v>340</v>
      </c>
      <c r="C7" s="5" t="s">
        <v>228</v>
      </c>
      <c r="D7" s="26" t="n">
        <v>0.5</v>
      </c>
      <c r="E7" s="26" t="s">
        <v>69</v>
      </c>
      <c r="F7" s="26"/>
    </row>
    <row r="8" customFormat="false" ht="15" hidden="false" customHeight="false" outlineLevel="0" collapsed="false">
      <c r="A8" s="5" t="s">
        <v>341</v>
      </c>
      <c r="B8" s="5" t="s">
        <v>342</v>
      </c>
      <c r="C8" s="5" t="s">
        <v>343</v>
      </c>
      <c r="D8" s="26" t="n">
        <v>1</v>
      </c>
      <c r="E8" s="26" t="s">
        <v>69</v>
      </c>
      <c r="F8" s="26"/>
    </row>
    <row r="9" customFormat="false" ht="15" hidden="false" customHeight="false" outlineLevel="0" collapsed="false">
      <c r="A9" s="5" t="s">
        <v>344</v>
      </c>
      <c r="B9" s="5" t="s">
        <v>345</v>
      </c>
      <c r="C9" s="5" t="s">
        <v>318</v>
      </c>
      <c r="D9" s="26" t="n">
        <v>1</v>
      </c>
      <c r="E9" s="26" t="s">
        <v>69</v>
      </c>
      <c r="F9" s="26"/>
    </row>
    <row r="10" customFormat="false" ht="15" hidden="false" customHeight="false" outlineLevel="0" collapsed="false">
      <c r="A10" s="17" t="s">
        <v>346</v>
      </c>
      <c r="D10" s="17" t="n">
        <f aca="false">SUM(D5:D9)</f>
        <v>5</v>
      </c>
    </row>
  </sheetData>
  <dataValidations count="1">
    <dataValidation allowBlank="false" errorStyle="stop" operator="between" showDropDown="false" showErrorMessage="false" showInputMessage="false" sqref="E5:E9" type="list">
      <formula1>"Not Started,In Progress,Blocked,Done,Cut"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38"/>
    <col collapsed="false" customWidth="true" hidden="false" outlineLevel="0" max="7" min="7" style="0" width="13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3" t="s">
        <v>347</v>
      </c>
      <c r="B1" s="3" t="s">
        <v>348</v>
      </c>
      <c r="C1" s="3" t="s">
        <v>349</v>
      </c>
      <c r="D1" s="3" t="s">
        <v>350</v>
      </c>
      <c r="E1" s="3" t="s">
        <v>351</v>
      </c>
      <c r="F1" s="3" t="s">
        <v>352</v>
      </c>
      <c r="G1" s="3" t="s">
        <v>353</v>
      </c>
      <c r="H1" s="3" t="s">
        <v>354</v>
      </c>
    </row>
    <row r="2" customFormat="false" ht="15" hidden="false" customHeight="false" outlineLevel="0" collapsed="false">
      <c r="A2" s="5" t="s">
        <v>188</v>
      </c>
      <c r="B2" s="5" t="s">
        <v>355</v>
      </c>
      <c r="C2" s="5" t="s">
        <v>356</v>
      </c>
      <c r="D2" s="5" t="s">
        <v>16</v>
      </c>
      <c r="E2" s="5" t="s">
        <v>357</v>
      </c>
      <c r="F2" s="5" t="s">
        <v>358</v>
      </c>
      <c r="G2" s="26" t="s">
        <v>42</v>
      </c>
      <c r="H2" s="26"/>
    </row>
    <row r="3" customFormat="false" ht="15" hidden="false" customHeight="false" outlineLevel="0" collapsed="false">
      <c r="A3" s="5" t="s">
        <v>83</v>
      </c>
      <c r="B3" s="5" t="s">
        <v>359</v>
      </c>
      <c r="C3" s="5" t="s">
        <v>360</v>
      </c>
      <c r="D3" s="5" t="s">
        <v>28</v>
      </c>
      <c r="E3" s="5" t="s">
        <v>16</v>
      </c>
      <c r="F3" s="5" t="s">
        <v>361</v>
      </c>
      <c r="G3" s="26" t="s">
        <v>42</v>
      </c>
      <c r="H3" s="26"/>
    </row>
    <row r="4" customFormat="false" ht="15" hidden="false" customHeight="false" outlineLevel="0" collapsed="false">
      <c r="A4" s="5" t="s">
        <v>362</v>
      </c>
      <c r="B4" s="5" t="s">
        <v>363</v>
      </c>
      <c r="C4" s="5" t="s">
        <v>364</v>
      </c>
      <c r="D4" s="5" t="s">
        <v>16</v>
      </c>
      <c r="E4" s="5" t="s">
        <v>365</v>
      </c>
      <c r="F4" s="5" t="s">
        <v>366</v>
      </c>
      <c r="G4" s="26" t="s">
        <v>42</v>
      </c>
      <c r="H4" s="26"/>
    </row>
    <row r="5" customFormat="false" ht="15" hidden="false" customHeight="false" outlineLevel="0" collapsed="false">
      <c r="A5" s="5" t="s">
        <v>147</v>
      </c>
      <c r="B5" s="5" t="s">
        <v>367</v>
      </c>
      <c r="C5" s="5" t="s">
        <v>368</v>
      </c>
      <c r="D5" s="5" t="s">
        <v>19</v>
      </c>
      <c r="E5" s="5" t="s">
        <v>369</v>
      </c>
      <c r="F5" s="5" t="s">
        <v>370</v>
      </c>
      <c r="G5" s="26" t="s">
        <v>42</v>
      </c>
      <c r="H5" s="26"/>
    </row>
    <row r="6" customFormat="false" ht="15" hidden="false" customHeight="false" outlineLevel="0" collapsed="false">
      <c r="A6" s="5" t="s">
        <v>197</v>
      </c>
      <c r="B6" s="5" t="s">
        <v>371</v>
      </c>
      <c r="C6" s="5" t="s">
        <v>372</v>
      </c>
      <c r="D6" s="5" t="s">
        <v>22</v>
      </c>
      <c r="E6" s="5" t="s">
        <v>25</v>
      </c>
      <c r="F6" s="5" t="s">
        <v>373</v>
      </c>
      <c r="G6" s="26" t="s">
        <v>42</v>
      </c>
      <c r="H6" s="26"/>
    </row>
    <row r="7" customFormat="false" ht="15" hidden="false" customHeight="false" outlineLevel="0" collapsed="false">
      <c r="A7" s="5" t="s">
        <v>182</v>
      </c>
      <c r="B7" s="5" t="s">
        <v>374</v>
      </c>
      <c r="C7" s="5" t="s">
        <v>375</v>
      </c>
      <c r="D7" s="5" t="s">
        <v>22</v>
      </c>
      <c r="E7" s="5" t="s">
        <v>365</v>
      </c>
      <c r="F7" s="5" t="s">
        <v>376</v>
      </c>
      <c r="G7" s="26" t="s">
        <v>42</v>
      </c>
      <c r="H7" s="26"/>
    </row>
    <row r="9" customFormat="false" ht="15" hidden="false" customHeight="false" outlineLevel="0" collapsed="false">
      <c r="A9" s="17" t="s">
        <v>377</v>
      </c>
      <c r="C9" s="0" t="str">
        <f aca="false">COUNTIF(G2:G7,"Y")&amp;" of 6"</f>
        <v>0 of 6</v>
      </c>
    </row>
  </sheetData>
  <conditionalFormatting sqref="G2:G7">
    <cfRule type="cellIs" priority="2" operator="equal" aboveAverage="0" equalAverage="0" bottom="0" percent="0" rank="0" text="" dxfId="10">
      <formula>"Y"</formula>
    </cfRule>
  </conditionalFormatting>
  <dataValidations count="1">
    <dataValidation allowBlank="false" errorStyle="stop" operator="between" showDropDown="false" showErrorMessage="false" showInputMessage="false" sqref="G2:G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3" t="s">
        <v>378</v>
      </c>
      <c r="B1" s="3" t="s">
        <v>379</v>
      </c>
      <c r="C1" s="3" t="s">
        <v>51</v>
      </c>
      <c r="D1" s="3" t="s">
        <v>380</v>
      </c>
      <c r="E1" s="3" t="s">
        <v>354</v>
      </c>
    </row>
    <row r="2" customFormat="false" ht="15" hidden="false" customHeight="false" outlineLevel="0" collapsed="false">
      <c r="A2" s="5" t="n">
        <v>1</v>
      </c>
      <c r="B2" s="5" t="s">
        <v>381</v>
      </c>
      <c r="C2" s="5" t="s">
        <v>28</v>
      </c>
      <c r="D2" s="26" t="s">
        <v>42</v>
      </c>
      <c r="E2" s="26"/>
    </row>
    <row r="3" customFormat="false" ht="15" hidden="false" customHeight="false" outlineLevel="0" collapsed="false">
      <c r="A3" s="5" t="n">
        <v>2</v>
      </c>
      <c r="B3" s="5" t="s">
        <v>382</v>
      </c>
      <c r="C3" s="5" t="s">
        <v>28</v>
      </c>
      <c r="D3" s="26" t="s">
        <v>42</v>
      </c>
      <c r="E3" s="26"/>
    </row>
    <row r="4" customFormat="false" ht="15" hidden="false" customHeight="false" outlineLevel="0" collapsed="false">
      <c r="A4" s="5" t="n">
        <v>3</v>
      </c>
      <c r="B4" s="5" t="s">
        <v>383</v>
      </c>
      <c r="C4" s="5" t="s">
        <v>19</v>
      </c>
      <c r="D4" s="26" t="s">
        <v>42</v>
      </c>
      <c r="E4" s="26"/>
    </row>
    <row r="5" customFormat="false" ht="15" hidden="false" customHeight="false" outlineLevel="0" collapsed="false">
      <c r="A5" s="5" t="n">
        <v>4</v>
      </c>
      <c r="B5" s="5" t="s">
        <v>384</v>
      </c>
      <c r="C5" s="5" t="s">
        <v>16</v>
      </c>
      <c r="D5" s="26" t="s">
        <v>42</v>
      </c>
      <c r="E5" s="26"/>
    </row>
    <row r="6" customFormat="false" ht="15" hidden="false" customHeight="false" outlineLevel="0" collapsed="false">
      <c r="A6" s="5" t="n">
        <v>5</v>
      </c>
      <c r="B6" s="5" t="s">
        <v>385</v>
      </c>
      <c r="C6" s="5" t="s">
        <v>386</v>
      </c>
      <c r="D6" s="26" t="s">
        <v>42</v>
      </c>
      <c r="E6" s="26"/>
    </row>
    <row r="7" customFormat="false" ht="15" hidden="false" customHeight="false" outlineLevel="0" collapsed="false">
      <c r="A7" s="5" t="n">
        <v>6</v>
      </c>
      <c r="B7" s="5" t="s">
        <v>387</v>
      </c>
      <c r="C7" s="5" t="s">
        <v>25</v>
      </c>
      <c r="D7" s="26" t="s">
        <v>42</v>
      </c>
      <c r="E7" s="26"/>
    </row>
    <row r="8" customFormat="false" ht="15" hidden="false" customHeight="false" outlineLevel="0" collapsed="false">
      <c r="A8" s="5" t="n">
        <v>7</v>
      </c>
      <c r="B8" s="5" t="s">
        <v>388</v>
      </c>
      <c r="C8" s="5" t="s">
        <v>389</v>
      </c>
      <c r="D8" s="26" t="s">
        <v>42</v>
      </c>
      <c r="E8" s="26"/>
    </row>
    <row r="9" customFormat="false" ht="15" hidden="false" customHeight="false" outlineLevel="0" collapsed="false">
      <c r="A9" s="5" t="n">
        <v>8</v>
      </c>
      <c r="B9" s="5" t="s">
        <v>390</v>
      </c>
      <c r="C9" s="5" t="s">
        <v>19</v>
      </c>
      <c r="D9" s="26" t="s">
        <v>42</v>
      </c>
      <c r="E9" s="26"/>
    </row>
    <row r="10" customFormat="false" ht="15" hidden="false" customHeight="false" outlineLevel="0" collapsed="false">
      <c r="A10" s="5" t="n">
        <v>9</v>
      </c>
      <c r="B10" s="5" t="s">
        <v>391</v>
      </c>
      <c r="C10" s="5" t="s">
        <v>392</v>
      </c>
      <c r="D10" s="26" t="s">
        <v>42</v>
      </c>
      <c r="E10" s="26"/>
    </row>
    <row r="11" customFormat="false" ht="15" hidden="false" customHeight="false" outlineLevel="0" collapsed="false">
      <c r="A11" s="5" t="n">
        <v>10</v>
      </c>
      <c r="B11" s="5" t="s">
        <v>393</v>
      </c>
      <c r="C11" s="5" t="s">
        <v>392</v>
      </c>
      <c r="D11" s="26" t="s">
        <v>42</v>
      </c>
      <c r="E11" s="26"/>
    </row>
    <row r="12" customFormat="false" ht="15" hidden="false" customHeight="false" outlineLevel="0" collapsed="false">
      <c r="A12" s="5" t="n">
        <v>11</v>
      </c>
      <c r="B12" s="5" t="s">
        <v>394</v>
      </c>
      <c r="C12" s="5" t="s">
        <v>22</v>
      </c>
      <c r="D12" s="26" t="s">
        <v>42</v>
      </c>
      <c r="E12" s="26"/>
    </row>
    <row r="13" customFormat="false" ht="15" hidden="false" customHeight="false" outlineLevel="0" collapsed="false">
      <c r="A13" s="5" t="n">
        <v>12</v>
      </c>
      <c r="B13" s="5" t="s">
        <v>395</v>
      </c>
      <c r="C13" s="5" t="s">
        <v>396</v>
      </c>
      <c r="D13" s="26" t="s">
        <v>42</v>
      </c>
      <c r="E13" s="26"/>
    </row>
    <row r="15" customFormat="false" ht="15" hidden="false" customHeight="false" outlineLevel="0" collapsed="false">
      <c r="B15" s="17" t="s">
        <v>397</v>
      </c>
      <c r="C15" s="0" t="str">
        <f aca="false">COUNTIF(D2:D13,"Y")&amp;" of 12"</f>
        <v>0 of 12</v>
      </c>
    </row>
  </sheetData>
  <conditionalFormatting sqref="D2:D13">
    <cfRule type="cellIs" priority="2" operator="equal" aboveAverage="0" equalAverage="0" bottom="0" percent="0" rank="0" text="" dxfId="10">
      <formula>"Y"</formula>
    </cfRule>
  </conditionalFormatting>
  <dataValidations count="1">
    <dataValidation allowBlank="false" errorStyle="stop" operator="between" showDropDown="false" showErrorMessage="false" showInputMessage="false" sqref="D2:D1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48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31" t="s">
        <v>398</v>
      </c>
    </row>
    <row r="2" customFormat="false" ht="15" hidden="false" customHeight="false" outlineLevel="0" collapsed="false">
      <c r="A2" s="3" t="s">
        <v>399</v>
      </c>
      <c r="B2" s="3" t="s">
        <v>400</v>
      </c>
      <c r="C2" s="3" t="s">
        <v>401</v>
      </c>
      <c r="D2" s="3" t="s">
        <v>402</v>
      </c>
    </row>
    <row r="3" customFormat="false" ht="23.85" hidden="false" customHeight="false" outlineLevel="0" collapsed="false">
      <c r="A3" s="5" t="s">
        <v>403</v>
      </c>
      <c r="B3" s="5" t="n">
        <v>8</v>
      </c>
      <c r="C3" s="5" t="s">
        <v>404</v>
      </c>
      <c r="D3" s="26" t="s">
        <v>42</v>
      </c>
    </row>
    <row r="4" customFormat="false" ht="23.85" hidden="false" customHeight="false" outlineLevel="0" collapsed="false">
      <c r="A4" s="5" t="s">
        <v>405</v>
      </c>
      <c r="B4" s="5" t="n">
        <v>14</v>
      </c>
      <c r="C4" s="5" t="s">
        <v>406</v>
      </c>
      <c r="D4" s="26" t="s">
        <v>42</v>
      </c>
    </row>
    <row r="5" customFormat="false" ht="15" hidden="false" customHeight="false" outlineLevel="0" collapsed="false">
      <c r="A5" s="5" t="s">
        <v>407</v>
      </c>
      <c r="B5" s="5" t="n">
        <v>19</v>
      </c>
      <c r="C5" s="5" t="s">
        <v>408</v>
      </c>
      <c r="D5" s="26" t="s">
        <v>42</v>
      </c>
    </row>
    <row r="8" customFormat="false" ht="15" hidden="false" customHeight="false" outlineLevel="0" collapsed="false">
      <c r="A8" s="31" t="s">
        <v>409</v>
      </c>
    </row>
    <row r="9" customFormat="false" ht="15" hidden="false" customHeight="false" outlineLevel="0" collapsed="false">
      <c r="A9" s="3" t="s">
        <v>410</v>
      </c>
      <c r="B9" s="3" t="s">
        <v>411</v>
      </c>
      <c r="C9" s="3" t="s">
        <v>412</v>
      </c>
    </row>
    <row r="10" customFormat="false" ht="15" hidden="false" customHeight="false" outlineLevel="0" collapsed="false">
      <c r="A10" s="20" t="n">
        <v>1</v>
      </c>
      <c r="B10" s="20" t="s">
        <v>413</v>
      </c>
      <c r="C10" s="20" t="s">
        <v>170</v>
      </c>
    </row>
    <row r="11" customFormat="false" ht="15" hidden="false" customHeight="false" outlineLevel="0" collapsed="false">
      <c r="A11" s="20" t="n">
        <v>2</v>
      </c>
      <c r="B11" s="20" t="s">
        <v>414</v>
      </c>
      <c r="C11" s="20" t="s">
        <v>415</v>
      </c>
    </row>
    <row r="12" customFormat="false" ht="15" hidden="false" customHeight="false" outlineLevel="0" collapsed="false">
      <c r="A12" s="20" t="n">
        <v>3</v>
      </c>
      <c r="B12" s="20" t="s">
        <v>105</v>
      </c>
      <c r="C12" s="20" t="s">
        <v>104</v>
      </c>
    </row>
    <row r="13" customFormat="false" ht="15" hidden="false" customHeight="false" outlineLevel="0" collapsed="false">
      <c r="A13" s="20" t="n">
        <v>4</v>
      </c>
      <c r="B13" s="20" t="s">
        <v>416</v>
      </c>
      <c r="C13" s="20" t="s">
        <v>417</v>
      </c>
    </row>
    <row r="14" customFormat="false" ht="15" hidden="false" customHeight="false" outlineLevel="0" collapsed="false">
      <c r="A14" s="20" t="n">
        <v>5</v>
      </c>
      <c r="B14" s="20" t="s">
        <v>208</v>
      </c>
      <c r="C14" s="20" t="s">
        <v>207</v>
      </c>
    </row>
    <row r="15" customFormat="false" ht="15" hidden="false" customHeight="false" outlineLevel="0" collapsed="false">
      <c r="A15" s="20" t="n">
        <v>6</v>
      </c>
      <c r="B15" s="20" t="s">
        <v>418</v>
      </c>
      <c r="C15" s="20" t="s">
        <v>419</v>
      </c>
    </row>
    <row r="16" customFormat="false" ht="15" hidden="false" customHeight="false" outlineLevel="0" collapsed="false">
      <c r="A16" s="20" t="n">
        <v>7</v>
      </c>
      <c r="B16" s="20" t="s">
        <v>163</v>
      </c>
      <c r="C16" s="20" t="s">
        <v>162</v>
      </c>
    </row>
    <row r="17" customFormat="false" ht="15" hidden="false" customHeight="false" outlineLevel="0" collapsed="false">
      <c r="A17" s="20" t="n">
        <v>8</v>
      </c>
      <c r="B17" s="20" t="s">
        <v>420</v>
      </c>
      <c r="C17" s="20" t="s">
        <v>421</v>
      </c>
    </row>
    <row r="19" customFormat="false" ht="15" hidden="false" customHeight="false" outlineLevel="0" collapsed="false">
      <c r="A19" s="17" t="s">
        <v>422</v>
      </c>
    </row>
  </sheetData>
  <dataValidations count="1">
    <dataValidation allowBlank="false" errorStyle="stop" operator="between" showDropDown="false" showErrorMessage="false" showInputMessage="false" sqref="D3:D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31" t="s">
        <v>423</v>
      </c>
    </row>
    <row r="3" customFormat="false" ht="15" hidden="false" customHeight="false" outlineLevel="0" collapsed="false">
      <c r="A3" s="3" t="s">
        <v>424</v>
      </c>
      <c r="B3" s="3" t="s">
        <v>425</v>
      </c>
      <c r="C3" s="3" t="s">
        <v>426</v>
      </c>
    </row>
    <row r="4" customFormat="false" ht="23.85" hidden="false" customHeight="false" outlineLevel="0" collapsed="false">
      <c r="A4" s="13" t="s">
        <v>427</v>
      </c>
      <c r="B4" s="5" t="s">
        <v>428</v>
      </c>
      <c r="C4" s="26" t="s">
        <v>42</v>
      </c>
    </row>
    <row r="5" customFormat="false" ht="23.85" hidden="false" customHeight="false" outlineLevel="0" collapsed="false">
      <c r="A5" s="13" t="s">
        <v>429</v>
      </c>
      <c r="B5" s="5" t="s">
        <v>430</v>
      </c>
      <c r="C5" s="26" t="s">
        <v>42</v>
      </c>
    </row>
    <row r="6" customFormat="false" ht="23.85" hidden="false" customHeight="false" outlineLevel="0" collapsed="false">
      <c r="A6" s="13" t="s">
        <v>431</v>
      </c>
      <c r="B6" s="5" t="s">
        <v>432</v>
      </c>
      <c r="C6" s="26" t="s">
        <v>42</v>
      </c>
    </row>
    <row r="7" customFormat="false" ht="15" hidden="false" customHeight="false" outlineLevel="0" collapsed="false">
      <c r="A7" s="13" t="s">
        <v>433</v>
      </c>
      <c r="B7" s="5" t="s">
        <v>434</v>
      </c>
      <c r="C7" s="26" t="s">
        <v>42</v>
      </c>
    </row>
    <row r="8" customFormat="false" ht="15" hidden="false" customHeight="false" outlineLevel="0" collapsed="false">
      <c r="A8" s="13" t="s">
        <v>435</v>
      </c>
      <c r="B8" s="5" t="s">
        <v>436</v>
      </c>
      <c r="C8" s="26" t="s">
        <v>42</v>
      </c>
    </row>
    <row r="9" customFormat="false" ht="15" hidden="false" customHeight="false" outlineLevel="0" collapsed="false">
      <c r="A9" s="13" t="s">
        <v>437</v>
      </c>
      <c r="B9" s="5" t="s">
        <v>438</v>
      </c>
      <c r="C9" s="2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22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31" t="s">
        <v>439</v>
      </c>
    </row>
    <row r="3" customFormat="false" ht="15" hidden="false" customHeight="false" outlineLevel="0" collapsed="false">
      <c r="A3" s="3" t="s">
        <v>39</v>
      </c>
      <c r="B3" s="3" t="s">
        <v>440</v>
      </c>
      <c r="C3" s="3" t="s">
        <v>441</v>
      </c>
      <c r="D3" s="3" t="s">
        <v>442</v>
      </c>
      <c r="E3" s="3" t="s">
        <v>443</v>
      </c>
      <c r="F3" s="3" t="s">
        <v>444</v>
      </c>
    </row>
    <row r="4" customFormat="false" ht="15" hidden="false" customHeight="false" outlineLevel="0" collapsed="false">
      <c r="A4" s="13" t="s">
        <v>445</v>
      </c>
      <c r="B4" s="5" t="s">
        <v>446</v>
      </c>
      <c r="C4" s="5" t="s">
        <v>446</v>
      </c>
      <c r="D4" s="5" t="s">
        <v>446</v>
      </c>
      <c r="E4" s="5" t="s">
        <v>446</v>
      </c>
      <c r="F4" s="5" t="s">
        <v>446</v>
      </c>
    </row>
    <row r="5" customFormat="false" ht="15" hidden="false" customHeight="false" outlineLevel="0" collapsed="false">
      <c r="A5" s="13" t="s">
        <v>447</v>
      </c>
      <c r="B5" s="5" t="s">
        <v>448</v>
      </c>
      <c r="C5" s="5" t="s">
        <v>449</v>
      </c>
      <c r="D5" s="5" t="s">
        <v>450</v>
      </c>
      <c r="E5" s="5" t="s">
        <v>451</v>
      </c>
      <c r="F5" s="5" t="s">
        <v>452</v>
      </c>
    </row>
    <row r="6" customFormat="false" ht="15" hidden="false" customHeight="false" outlineLevel="0" collapsed="false">
      <c r="A6" s="13" t="s">
        <v>453</v>
      </c>
      <c r="B6" s="5" t="s">
        <v>454</v>
      </c>
      <c r="C6" s="5" t="s">
        <v>455</v>
      </c>
      <c r="D6" s="5" t="s">
        <v>191</v>
      </c>
      <c r="E6" s="5" t="s">
        <v>456</v>
      </c>
      <c r="F6" s="5" t="s">
        <v>457</v>
      </c>
    </row>
    <row r="7" customFormat="false" ht="15" hidden="false" customHeight="false" outlineLevel="0" collapsed="false">
      <c r="A7" s="13" t="s">
        <v>458</v>
      </c>
      <c r="B7" s="5" t="s">
        <v>459</v>
      </c>
      <c r="C7" s="5" t="s">
        <v>460</v>
      </c>
      <c r="D7" s="5" t="s">
        <v>253</v>
      </c>
      <c r="E7" s="5" t="s">
        <v>461</v>
      </c>
      <c r="F7" s="5" t="s">
        <v>462</v>
      </c>
    </row>
    <row r="8" customFormat="false" ht="15" hidden="false" customHeight="false" outlineLevel="0" collapsed="false">
      <c r="A8" s="13" t="s">
        <v>463</v>
      </c>
      <c r="B8" s="5" t="s">
        <v>464</v>
      </c>
      <c r="C8" s="5" t="s">
        <v>465</v>
      </c>
      <c r="D8" s="5" t="s">
        <v>466</v>
      </c>
      <c r="E8" s="5" t="s">
        <v>467</v>
      </c>
      <c r="F8" s="5" t="s">
        <v>468</v>
      </c>
    </row>
    <row r="9" customFormat="false" ht="15" hidden="false" customHeight="false" outlineLevel="0" collapsed="false">
      <c r="A9" s="13" t="s">
        <v>469</v>
      </c>
      <c r="B9" s="5" t="s">
        <v>118</v>
      </c>
      <c r="C9" s="5" t="s">
        <v>470</v>
      </c>
      <c r="D9" s="5" t="s">
        <v>261</v>
      </c>
      <c r="E9" s="5" t="s">
        <v>471</v>
      </c>
      <c r="F9" s="5" t="s">
        <v>472</v>
      </c>
    </row>
    <row r="10" customFormat="false" ht="15" hidden="false" customHeight="false" outlineLevel="0" collapsed="false">
      <c r="A10" s="32" t="s">
        <v>473</v>
      </c>
      <c r="B10" s="32" t="s">
        <v>474</v>
      </c>
      <c r="C10" s="32" t="s">
        <v>474</v>
      </c>
      <c r="D10" s="32" t="s">
        <v>474</v>
      </c>
      <c r="E10" s="32" t="s">
        <v>474</v>
      </c>
      <c r="F10" s="32" t="s">
        <v>474</v>
      </c>
    </row>
    <row r="11" customFormat="false" ht="15" hidden="false" customHeight="false" outlineLevel="0" collapsed="false">
      <c r="A11" s="13" t="s">
        <v>475</v>
      </c>
      <c r="B11" s="5" t="s">
        <v>476</v>
      </c>
      <c r="C11" s="5" t="s">
        <v>476</v>
      </c>
      <c r="D11" s="5" t="s">
        <v>477</v>
      </c>
      <c r="E11" s="5" t="s">
        <v>478</v>
      </c>
      <c r="F11" s="5" t="s">
        <v>479</v>
      </c>
    </row>
    <row r="12" customFormat="false" ht="15" hidden="false" customHeight="false" outlineLevel="0" collapsed="false">
      <c r="A12" s="13" t="s">
        <v>480</v>
      </c>
      <c r="B12" s="5" t="s">
        <v>481</v>
      </c>
      <c r="C12" s="5" t="s">
        <v>481</v>
      </c>
      <c r="D12" s="5" t="s">
        <v>481</v>
      </c>
      <c r="E12" s="5" t="s">
        <v>482</v>
      </c>
      <c r="F12" s="5" t="s">
        <v>483</v>
      </c>
    </row>
    <row r="14" customFormat="false" ht="15" hidden="false" customHeight="false" outlineLevel="0" collapsed="false">
      <c r="A14" s="2" t="s">
        <v>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2026-10-16T04:27:59Z</dcterms:created>
  <dc:creator>openpyxl</dc:creator>
  <dc:description/>
  <dc:language>en-US</dc:language>
  <cp:lastModifiedBy/>
  <dcterms:modified xsi:type="dcterms:W3CDTF">2026-10-16T04:27:59Z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